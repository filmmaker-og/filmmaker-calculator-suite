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_Comparison" sheetId="2" state="visible" r:id="rId2"/>
    <sheet xmlns:r="http://schemas.openxmlformats.org/officeDocument/2006/relationships" name="Capital_Stack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Revenue_Forecas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lide_Out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&quot;-&quot;"/>
    <numFmt numFmtId="167" formatCode="0.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0000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0000FF"/>
      <sz val="10"/>
      <u val="single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FFFFFF"/>
      <sz val="9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9E8F5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2"/>
    </xf>
    <xf numFmtId="164" fontId="11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2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 indent="1"/>
    </xf>
    <xf numFmtId="0" fontId="10" fillId="2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 indent="1"/>
    </xf>
    <xf numFmtId="165" fontId="5" fillId="6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165" fontId="11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1"/>
    </xf>
    <xf numFmtId="167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top" wrapText="1" indent="1"/>
    </xf>
    <xf numFmtId="0" fontId="6" fillId="7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top" wrapText="1" indent="1"/>
    </xf>
    <xf numFmtId="0" fontId="9" fillId="7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center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center" vertical="center" indent="1"/>
    </xf>
    <xf numFmtId="0" fontId="5" fillId="0" borderId="1" applyAlignment="1" pivotButton="0" quotePrefix="0" xfId="0">
      <alignment horizontal="center" vertical="center" indent="1"/>
    </xf>
    <xf numFmtId="0" fontId="5" fillId="7" borderId="1" applyAlignment="1" pivotButton="0" quotePrefix="0" xfId="0">
      <alignment horizontal="center" vertical="center" indent="1"/>
    </xf>
    <xf numFmtId="0" fontId="13" fillId="0" borderId="1" applyAlignment="1" pivotButton="0" quotePrefix="0" xfId="0">
      <alignment horizontal="center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 ht="40" customHeight="1">
      <c r="B2" s="1" t="inlineStr">
        <is>
          <t>INDIE FILM FINANCE MODEL</t>
        </is>
      </c>
    </row>
    <row r="3" ht="22" customHeight="1">
      <c r="B3" s="2" t="inlineStr">
        <is>
          <t>Single-Film Financing Plan  |  Budget Tiers: $750K • $2M • $5M  |  Investor-Facing Template</t>
        </is>
      </c>
    </row>
    <row r="4" ht="10" customHeight="1"/>
    <row r="5" ht="18" customHeight="1">
      <c r="B5" s="3" t="inlineStr">
        <is>
          <t>COLOR CODING LEGEND</t>
        </is>
      </c>
    </row>
    <row r="6" ht="16" customHeight="1">
      <c r="B6" s="4" t="inlineStr">
        <is>
          <t>Blue Text</t>
        </is>
      </c>
      <c r="C6" s="5" t="inlineStr">
        <is>
          <t>Hardcoded input — change these to customize for your project</t>
        </is>
      </c>
    </row>
    <row r="7" ht="16" customHeight="1">
      <c r="B7" s="6" t="inlineStr">
        <is>
          <t>Black Text</t>
        </is>
      </c>
      <c r="C7" s="5" t="inlineStr">
        <is>
          <t>Calculated formula — do not edit</t>
        </is>
      </c>
    </row>
    <row r="8" ht="16" customHeight="1">
      <c r="B8" s="7" t="inlineStr">
        <is>
          <t>Green Text</t>
        </is>
      </c>
      <c r="C8" s="5" t="inlineStr">
        <is>
          <t>Cross-sheet link pulling from another tab</t>
        </is>
      </c>
    </row>
    <row r="9" ht="16" customHeight="1">
      <c r="B9" s="8" t="inlineStr">
        <is>
          <t>Yellow Background</t>
        </is>
      </c>
      <c r="C9" s="5" t="inlineStr">
        <is>
          <t>Key assumption requiring attention / verification</t>
        </is>
      </c>
    </row>
    <row r="10" ht="10" customHeight="1"/>
    <row r="11" ht="18" customHeight="1">
      <c r="B11" s="3" t="inlineStr">
        <is>
          <t>SHEET NAVIGATOR</t>
        </is>
      </c>
    </row>
    <row r="12" ht="16" customHeight="1">
      <c r="B12" s="9" t="inlineStr">
        <is>
          <t>Budget Comparison</t>
        </is>
      </c>
      <c r="C12" s="5" t="inlineStr">
        <is>
          <t>Side-by-side budget breakdown for all three tiers</t>
        </is>
      </c>
    </row>
    <row r="13" ht="16" customHeight="1">
      <c r="B13" s="9" t="inlineStr">
        <is>
          <t>Capital Stack</t>
        </is>
      </c>
      <c r="C13" s="5" t="inlineStr">
        <is>
          <t>Financing sources by tier (equity, debt, tax credits, pre-sales)</t>
        </is>
      </c>
    </row>
    <row r="14" ht="16" customHeight="1">
      <c r="B14" s="9" t="inlineStr">
        <is>
          <t>Waterfall Model</t>
        </is>
      </c>
      <c r="C14" s="5" t="inlineStr">
        <is>
          <t>Revenue waterfall: distribution fees → debt → equity → backend</t>
        </is>
      </c>
    </row>
    <row r="15" ht="16" customHeight="1">
      <c r="B15" s="9" t="inlineStr">
        <is>
          <t>Revenue Forecast</t>
        </is>
      </c>
      <c r="C15" s="5" t="inlineStr">
        <is>
          <t>Domestic / intl / streaming / ancillary revenue projections</t>
        </is>
      </c>
    </row>
    <row r="16" ht="16" customHeight="1">
      <c r="B16" s="9" t="inlineStr">
        <is>
          <t>Sensitivity</t>
        </is>
      </c>
      <c r="C16" s="5" t="inlineStr">
        <is>
          <t>IRR &amp; ROI sensitivity tables by revenue scenario</t>
        </is>
      </c>
    </row>
    <row r="17" ht="16" customHeight="1">
      <c r="B17" s="9" t="inlineStr">
        <is>
          <t>Slide Outline</t>
        </is>
      </c>
      <c r="C17" s="5" t="inlineStr">
        <is>
          <t>Pitch deck slide-by-slide outline with content guidance</t>
        </is>
      </c>
    </row>
    <row r="18" ht="10" customHeight="1"/>
    <row r="19" ht="28" customHeight="1">
      <c r="B19" s="10" t="inlineStr">
        <is>
          <t>Disclaimer: This template uses anonymized example figures for illustrative purposes only. Consult qualified entertainment attorneys and financial advisors before offering securities.  |  Generated: March 2026</t>
        </is>
      </c>
    </row>
  </sheetData>
  <mergeCells count="15">
    <mergeCell ref="C14:I14"/>
    <mergeCell ref="C13:I13"/>
    <mergeCell ref="C9:I9"/>
    <mergeCell ref="B11:I11"/>
    <mergeCell ref="C17:I17"/>
    <mergeCell ref="B2:I2"/>
    <mergeCell ref="C8:I8"/>
    <mergeCell ref="C12:I12"/>
    <mergeCell ref="B3:I3"/>
    <mergeCell ref="B5:I5"/>
    <mergeCell ref="C6:I6"/>
    <mergeCell ref="C7:I7"/>
    <mergeCell ref="C16:I16"/>
    <mergeCell ref="B19:I19"/>
    <mergeCell ref="C15:I15"/>
  </mergeCells>
  <hyperlinks>
    <hyperlink ref="B12" location="'Budget_Comparison'!A1"/>
    <hyperlink ref="B13" location="'Capital_Stack'!A1"/>
    <hyperlink ref="B14" location="'Waterfall'!A1"/>
    <hyperlink ref="B15" location="'Revenue_Forecast'!A1"/>
    <hyperlink ref="B16" location="'Sensitivity'!A1"/>
    <hyperlink ref="B17" location="'Slide_Outlin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</cols>
  <sheetData>
    <row r="2" ht="20" customHeight="1">
      <c r="B2" s="3" t="inlineStr">
        <is>
          <t xml:space="preserve">  PRODUCTION BUDGET COMPARISON  —  Three Illustrative Budget Tiers</t>
        </is>
      </c>
    </row>
    <row r="3" ht="20" customHeight="1">
      <c r="B3" s="11" t="inlineStr">
        <is>
          <t>Budget Line Item</t>
        </is>
      </c>
      <c r="C3" s="12" t="inlineStr">
        <is>
          <t>Tier 1: $750K</t>
        </is>
      </c>
      <c r="D3" s="12" t="inlineStr">
        <is>
          <t>% of Total</t>
        </is>
      </c>
      <c r="E3" s="12" t="inlineStr">
        <is>
          <t>Tier 2: $2M</t>
        </is>
      </c>
      <c r="F3" s="12" t="inlineStr">
        <is>
          <t>% of Total</t>
        </is>
      </c>
      <c r="G3" s="12" t="inlineStr">
        <is>
          <t>Tier 3: $5M</t>
        </is>
      </c>
      <c r="H3" s="12" t="inlineStr">
        <is>
          <t>% of Total</t>
        </is>
      </c>
    </row>
    <row r="4" ht="16" customHeight="1">
      <c r="B4" s="13" t="inlineStr">
        <is>
          <t>ABOVE THE LINE</t>
        </is>
      </c>
      <c r="C4" s="14" t="n"/>
      <c r="D4" s="14" t="n"/>
      <c r="E4" s="14" t="n"/>
      <c r="F4" s="14" t="n"/>
      <c r="G4" s="14" t="n"/>
      <c r="H4" s="15" t="n"/>
    </row>
    <row r="5" ht="16" customHeight="1">
      <c r="B5" s="16" t="inlineStr">
        <is>
          <t>Story &amp; Rights / Option</t>
        </is>
      </c>
      <c r="C5" s="17" t="n">
        <v>15000</v>
      </c>
      <c r="D5" s="18">
        <f>C5/C39</f>
        <v/>
      </c>
      <c r="E5" s="17" t="n">
        <v>40000</v>
      </c>
      <c r="F5" s="18">
        <f>E5/E39</f>
        <v/>
      </c>
      <c r="G5" s="17" t="n">
        <v>100000</v>
      </c>
      <c r="H5" s="18">
        <f>G5/G39</f>
        <v/>
      </c>
    </row>
    <row r="6" ht="16" customHeight="1">
      <c r="B6" s="16" t="inlineStr">
        <is>
          <t>Screenplay / Writer</t>
        </is>
      </c>
      <c r="C6" s="17" t="n">
        <v>8000</v>
      </c>
      <c r="D6" s="18">
        <f>C6/C39</f>
        <v/>
      </c>
      <c r="E6" s="17" t="n">
        <v>25000</v>
      </c>
      <c r="F6" s="18">
        <f>E6/E39</f>
        <v/>
      </c>
      <c r="G6" s="17" t="n">
        <v>75000</v>
      </c>
      <c r="H6" s="18">
        <f>G6/G39</f>
        <v/>
      </c>
    </row>
    <row r="7" ht="16" customHeight="1">
      <c r="B7" s="16" t="inlineStr">
        <is>
          <t>Producer(s) Fee</t>
        </is>
      </c>
      <c r="C7" s="17" t="n">
        <v>25000</v>
      </c>
      <c r="D7" s="18">
        <f>C7/C39</f>
        <v/>
      </c>
      <c r="E7" s="17" t="n">
        <v>60000</v>
      </c>
      <c r="F7" s="18">
        <f>E7/E39</f>
        <v/>
      </c>
      <c r="G7" s="17" t="n">
        <v>150000</v>
      </c>
      <c r="H7" s="18">
        <f>G7/G39</f>
        <v/>
      </c>
    </row>
    <row r="8" ht="16" customHeight="1">
      <c r="B8" s="16" t="inlineStr">
        <is>
          <t>Director Fee</t>
        </is>
      </c>
      <c r="C8" s="17" t="n">
        <v>40000</v>
      </c>
      <c r="D8" s="18">
        <f>C8/C39</f>
        <v/>
      </c>
      <c r="E8" s="17" t="n">
        <v>100000</v>
      </c>
      <c r="F8" s="18">
        <f>E8/E39</f>
        <v/>
      </c>
      <c r="G8" s="17" t="n">
        <v>250000</v>
      </c>
      <c r="H8" s="18">
        <f>G8/G39</f>
        <v/>
      </c>
    </row>
    <row r="9" ht="16" customHeight="1">
      <c r="B9" s="16" t="inlineStr">
        <is>
          <t>Principal Cast</t>
        </is>
      </c>
      <c r="C9" s="17" t="n">
        <v>90000</v>
      </c>
      <c r="D9" s="18">
        <f>C9/C39</f>
        <v/>
      </c>
      <c r="E9" s="17" t="n">
        <v>250000</v>
      </c>
      <c r="F9" s="18">
        <f>E9/E39</f>
        <v/>
      </c>
      <c r="G9" s="17" t="n">
        <v>600000</v>
      </c>
      <c r="H9" s="18">
        <f>G9/G39</f>
        <v/>
      </c>
    </row>
    <row r="10" ht="16" customHeight="1">
      <c r="B10" s="19" t="inlineStr">
        <is>
          <t>ABOVE-THE-LINE SUBTOTAL</t>
        </is>
      </c>
      <c r="C10" s="20" t="n">
        <v>178000</v>
      </c>
      <c r="D10" s="18">
        <f>C10/C39</f>
        <v/>
      </c>
      <c r="E10" s="20" t="n">
        <v>475000</v>
      </c>
      <c r="F10" s="18">
        <f>E10/E39</f>
        <v/>
      </c>
      <c r="G10" s="20" t="n">
        <v>1175000</v>
      </c>
      <c r="H10" s="18">
        <f>G10/G39</f>
        <v/>
      </c>
    </row>
    <row r="11" ht="16" customHeight="1">
      <c r="B11" s="13" t="inlineStr">
        <is>
          <t>BELOW THE LINE — PRODUCTION</t>
        </is>
      </c>
      <c r="C11" s="14" t="n"/>
      <c r="D11" s="14" t="n"/>
      <c r="E11" s="14" t="n"/>
      <c r="F11" s="14" t="n"/>
      <c r="G11" s="14" t="n"/>
      <c r="H11" s="15" t="n"/>
    </row>
    <row r="12" ht="16" customHeight="1">
      <c r="B12" s="16" t="inlineStr">
        <is>
          <t>Camera Dept (crew + equipment)</t>
        </is>
      </c>
      <c r="C12" s="17" t="n">
        <v>40000</v>
      </c>
      <c r="D12" s="18">
        <f>C12/C39</f>
        <v/>
      </c>
      <c r="E12" s="17" t="n">
        <v>100000</v>
      </c>
      <c r="F12" s="18">
        <f>E12/E39</f>
        <v/>
      </c>
      <c r="G12" s="17" t="n">
        <v>280000</v>
      </c>
      <c r="H12" s="18">
        <f>G12/G39</f>
        <v/>
      </c>
    </row>
    <row r="13" ht="16" customHeight="1">
      <c r="B13" s="16" t="inlineStr">
        <is>
          <t>Grip &amp; Electric</t>
        </is>
      </c>
      <c r="C13" s="17" t="n">
        <v>65000</v>
      </c>
      <c r="D13" s="18">
        <f>C13/C39</f>
        <v/>
      </c>
      <c r="E13" s="17" t="n">
        <v>160000</v>
      </c>
      <c r="F13" s="18">
        <f>E13/E39</f>
        <v/>
      </c>
      <c r="G13" s="17" t="n">
        <v>420000</v>
      </c>
      <c r="H13" s="18">
        <f>G13/G39</f>
        <v/>
      </c>
    </row>
    <row r="14" ht="16" customHeight="1">
      <c r="B14" s="16" t="inlineStr">
        <is>
          <t>Art Department / Production Design</t>
        </is>
      </c>
      <c r="C14" s="17" t="n">
        <v>45000</v>
      </c>
      <c r="D14" s="18">
        <f>C14/C39</f>
        <v/>
      </c>
      <c r="E14" s="17" t="n">
        <v>120000</v>
      </c>
      <c r="F14" s="18">
        <f>E14/E39</f>
        <v/>
      </c>
      <c r="G14" s="17" t="n">
        <v>320000</v>
      </c>
      <c r="H14" s="18">
        <f>G14/G39</f>
        <v/>
      </c>
    </row>
    <row r="15" ht="16" customHeight="1">
      <c r="B15" s="16" t="inlineStr">
        <is>
          <t>Wardrobe / Costume</t>
        </is>
      </c>
      <c r="C15" s="17" t="n">
        <v>18000</v>
      </c>
      <c r="D15" s="18">
        <f>C15/C39</f>
        <v/>
      </c>
      <c r="E15" s="17" t="n">
        <v>45000</v>
      </c>
      <c r="F15" s="18">
        <f>E15/E39</f>
        <v/>
      </c>
      <c r="G15" s="17" t="n">
        <v>120000</v>
      </c>
      <c r="H15" s="18">
        <f>G15/G39</f>
        <v/>
      </c>
    </row>
    <row r="16" ht="16" customHeight="1">
      <c r="B16" s="16" t="inlineStr">
        <is>
          <t>Hair &amp; Makeup</t>
        </is>
      </c>
      <c r="C16" s="17" t="n">
        <v>14000</v>
      </c>
      <c r="D16" s="18">
        <f>C16/C39</f>
        <v/>
      </c>
      <c r="E16" s="17" t="n">
        <v>35000</v>
      </c>
      <c r="F16" s="18">
        <f>E16/E39</f>
        <v/>
      </c>
      <c r="G16" s="17" t="n">
        <v>95000</v>
      </c>
      <c r="H16" s="18">
        <f>G16/G39</f>
        <v/>
      </c>
    </row>
    <row r="17" ht="16" customHeight="1">
      <c r="B17" s="16" t="inlineStr">
        <is>
          <t>Sound (production)</t>
        </is>
      </c>
      <c r="C17" s="17" t="n">
        <v>12000</v>
      </c>
      <c r="D17" s="18">
        <f>C17/C39</f>
        <v/>
      </c>
      <c r="E17" s="17" t="n">
        <v>30000</v>
      </c>
      <c r="F17" s="18">
        <f>E17/E39</f>
        <v/>
      </c>
      <c r="G17" s="17" t="n">
        <v>80000</v>
      </c>
      <c r="H17" s="18">
        <f>G17/G39</f>
        <v/>
      </c>
    </row>
    <row r="18" ht="16" customHeight="1">
      <c r="B18" s="16" t="inlineStr">
        <is>
          <t>Locations &amp; Permits</t>
        </is>
      </c>
      <c r="C18" s="17" t="n">
        <v>35000</v>
      </c>
      <c r="D18" s="18">
        <f>C18/C39</f>
        <v/>
      </c>
      <c r="E18" s="17" t="n">
        <v>90000</v>
      </c>
      <c r="F18" s="18">
        <f>E18/E39</f>
        <v/>
      </c>
      <c r="G18" s="17" t="n">
        <v>250000</v>
      </c>
      <c r="H18" s="18">
        <f>G18/G39</f>
        <v/>
      </c>
    </row>
    <row r="19" ht="16" customHeight="1">
      <c r="B19" s="16" t="inlineStr">
        <is>
          <t>Transportation</t>
        </is>
      </c>
      <c r="C19" s="17" t="n">
        <v>30000</v>
      </c>
      <c r="D19" s="18">
        <f>C19/C39</f>
        <v/>
      </c>
      <c r="E19" s="17" t="n">
        <v>75000</v>
      </c>
      <c r="F19" s="18">
        <f>E19/E39</f>
        <v/>
      </c>
      <c r="G19" s="17" t="n">
        <v>200000</v>
      </c>
      <c r="H19" s="18">
        <f>G19/G39</f>
        <v/>
      </c>
    </row>
    <row r="20" ht="16" customHeight="1">
      <c r="B20" s="16" t="inlineStr">
        <is>
          <t>Catering &amp; Craft Services</t>
        </is>
      </c>
      <c r="C20" s="17" t="n">
        <v>22000</v>
      </c>
      <c r="D20" s="18">
        <f>C20/C39</f>
        <v/>
      </c>
      <c r="E20" s="17" t="n">
        <v>55000</v>
      </c>
      <c r="F20" s="18">
        <f>E20/E39</f>
        <v/>
      </c>
      <c r="G20" s="17" t="n">
        <v>145000</v>
      </c>
      <c r="H20" s="18">
        <f>G20/G39</f>
        <v/>
      </c>
    </row>
    <row r="21" ht="16" customHeight="1">
      <c r="B21" s="16" t="inlineStr">
        <is>
          <t>Production Staff / Coordinators</t>
        </is>
      </c>
      <c r="C21" s="17" t="n">
        <v>20000</v>
      </c>
      <c r="D21" s="18">
        <f>C21/C39</f>
        <v/>
      </c>
      <c r="E21" s="17" t="n">
        <v>50000</v>
      </c>
      <c r="F21" s="18">
        <f>E21/E39</f>
        <v/>
      </c>
      <c r="G21" s="17" t="n">
        <v>130000</v>
      </c>
      <c r="H21" s="18">
        <f>G21/G39</f>
        <v/>
      </c>
    </row>
    <row r="22" ht="16" customHeight="1">
      <c r="B22" s="16" t="inlineStr">
        <is>
          <t>Extras / Background</t>
        </is>
      </c>
      <c r="C22" s="17" t="n">
        <v>8000</v>
      </c>
      <c r="D22" s="18">
        <f>C22/C39</f>
        <v/>
      </c>
      <c r="E22" s="17" t="n">
        <v>20000</v>
      </c>
      <c r="F22" s="18">
        <f>E22/E39</f>
        <v/>
      </c>
      <c r="G22" s="17" t="n">
        <v>55000</v>
      </c>
      <c r="H22" s="18">
        <f>G22/G39</f>
        <v/>
      </c>
    </row>
    <row r="23" ht="16" customHeight="1">
      <c r="B23" s="19" t="inlineStr">
        <is>
          <t>PRODUCTION SUBTOTAL</t>
        </is>
      </c>
      <c r="C23" s="20" t="n">
        <v>309000</v>
      </c>
      <c r="D23" s="18">
        <f>C23/C39</f>
        <v/>
      </c>
      <c r="E23" s="20" t="n">
        <v>780000</v>
      </c>
      <c r="F23" s="18">
        <f>E23/E39</f>
        <v/>
      </c>
      <c r="G23" s="20" t="n">
        <v>2095000</v>
      </c>
      <c r="H23" s="18">
        <f>G23/G39</f>
        <v/>
      </c>
    </row>
    <row r="24" ht="16" customHeight="1">
      <c r="B24" s="13" t="inlineStr">
        <is>
          <t>POST-PRODUCTION</t>
        </is>
      </c>
      <c r="C24" s="14" t="n"/>
      <c r="D24" s="14" t="n"/>
      <c r="E24" s="14" t="n"/>
      <c r="F24" s="14" t="n"/>
      <c r="G24" s="14" t="n"/>
      <c r="H24" s="15" t="n"/>
    </row>
    <row r="25" ht="16" customHeight="1">
      <c r="B25" s="16" t="inlineStr">
        <is>
          <t>Editorial (editor + asst)</t>
        </is>
      </c>
      <c r="C25" s="17" t="n">
        <v>35000</v>
      </c>
      <c r="D25" s="18">
        <f>C25/C39</f>
        <v/>
      </c>
      <c r="E25" s="17" t="n">
        <v>85000</v>
      </c>
      <c r="F25" s="18">
        <f>E25/E39</f>
        <v/>
      </c>
      <c r="G25" s="17" t="n">
        <v>220000</v>
      </c>
      <c r="H25" s="18">
        <f>G25/G39</f>
        <v/>
      </c>
    </row>
    <row r="26" ht="16" customHeight="1">
      <c r="B26" s="16" t="inlineStr">
        <is>
          <t>Color Grading / DI</t>
        </is>
      </c>
      <c r="C26" s="17" t="n">
        <v>15000</v>
      </c>
      <c r="D26" s="18">
        <f>C26/C39</f>
        <v/>
      </c>
      <c r="E26" s="17" t="n">
        <v>40000</v>
      </c>
      <c r="F26" s="18">
        <f>E26/E39</f>
        <v/>
      </c>
      <c r="G26" s="17" t="n">
        <v>100000</v>
      </c>
      <c r="H26" s="18">
        <f>G26/G39</f>
        <v/>
      </c>
    </row>
    <row r="27" ht="16" customHeight="1">
      <c r="B27" s="16" t="inlineStr">
        <is>
          <t>Music (score + licensing)</t>
        </is>
      </c>
      <c r="C27" s="17" t="n">
        <v>18000</v>
      </c>
      <c r="D27" s="18">
        <f>C27/C39</f>
        <v/>
      </c>
      <c r="E27" s="17" t="n">
        <v>45000</v>
      </c>
      <c r="F27" s="18">
        <f>E27/E39</f>
        <v/>
      </c>
      <c r="G27" s="17" t="n">
        <v>120000</v>
      </c>
      <c r="H27" s="18">
        <f>G27/G39</f>
        <v/>
      </c>
    </row>
    <row r="28" ht="16" customHeight="1">
      <c r="B28" s="16" t="inlineStr">
        <is>
          <t>Sound Mix / Design</t>
        </is>
      </c>
      <c r="C28" s="17" t="n">
        <v>20000</v>
      </c>
      <c r="D28" s="18">
        <f>C28/C39</f>
        <v/>
      </c>
      <c r="E28" s="17" t="n">
        <v>50000</v>
      </c>
      <c r="F28" s="18">
        <f>E28/E39</f>
        <v/>
      </c>
      <c r="G28" s="17" t="n">
        <v>130000</v>
      </c>
      <c r="H28" s="18">
        <f>G28/G39</f>
        <v/>
      </c>
    </row>
    <row r="29" ht="16" customHeight="1">
      <c r="B29" s="16" t="inlineStr">
        <is>
          <t>VFX</t>
        </is>
      </c>
      <c r="C29" s="17" t="n">
        <v>12000</v>
      </c>
      <c r="D29" s="18">
        <f>C29/C39</f>
        <v/>
      </c>
      <c r="E29" s="17" t="n">
        <v>30000</v>
      </c>
      <c r="F29" s="18">
        <f>E29/E39</f>
        <v/>
      </c>
      <c r="G29" s="17" t="n">
        <v>100000</v>
      </c>
      <c r="H29" s="18">
        <f>G29/G39</f>
        <v/>
      </c>
    </row>
    <row r="30" ht="16" customHeight="1">
      <c r="B30" s="16" t="inlineStr">
        <is>
          <t>Deliverables (DCP, IMF, etc.)</t>
        </is>
      </c>
      <c r="C30" s="17" t="n">
        <v>10000</v>
      </c>
      <c r="D30" s="18">
        <f>C30/C39</f>
        <v/>
      </c>
      <c r="E30" s="17" t="n">
        <v>25000</v>
      </c>
      <c r="F30" s="18">
        <f>E30/E39</f>
        <v/>
      </c>
      <c r="G30" s="17" t="n">
        <v>65000</v>
      </c>
      <c r="H30" s="18">
        <f>G30/G39</f>
        <v/>
      </c>
    </row>
    <row r="31" ht="16" customHeight="1">
      <c r="B31" s="19" t="inlineStr">
        <is>
          <t>POST-PRODUCTION SUBTOTAL</t>
        </is>
      </c>
      <c r="C31" s="20" t="n">
        <v>110000</v>
      </c>
      <c r="D31" s="18">
        <f>C31/C39</f>
        <v/>
      </c>
      <c r="E31" s="20" t="n">
        <v>275000</v>
      </c>
      <c r="F31" s="18">
        <f>E31/E39</f>
        <v/>
      </c>
      <c r="G31" s="20" t="n">
        <v>735000</v>
      </c>
      <c r="H31" s="18">
        <f>G31/G39</f>
        <v/>
      </c>
    </row>
    <row r="32" ht="16" customHeight="1">
      <c r="B32" s="13" t="inlineStr">
        <is>
          <t>GENERAL &amp; ADMINISTRATIVE</t>
        </is>
      </c>
      <c r="C32" s="14" t="n"/>
      <c r="D32" s="14" t="n"/>
      <c r="E32" s="14" t="n"/>
      <c r="F32" s="14" t="n"/>
      <c r="G32" s="14" t="n"/>
      <c r="H32" s="15" t="n"/>
    </row>
    <row r="33" ht="16" customHeight="1">
      <c r="B33" s="16" t="inlineStr">
        <is>
          <t>Insurance (E&amp;O + Production)</t>
        </is>
      </c>
      <c r="C33" s="17" t="n">
        <v>20000</v>
      </c>
      <c r="D33" s="18">
        <f>C33/C39</f>
        <v/>
      </c>
      <c r="E33" s="17" t="n">
        <v>45000</v>
      </c>
      <c r="F33" s="18">
        <f>E33/E39</f>
        <v/>
      </c>
      <c r="G33" s="17" t="n">
        <v>110000</v>
      </c>
      <c r="H33" s="18">
        <f>G33/G39</f>
        <v/>
      </c>
    </row>
    <row r="34" ht="16" customHeight="1">
      <c r="B34" s="16" t="inlineStr">
        <is>
          <t>Legal &amp; Accounting</t>
        </is>
      </c>
      <c r="C34" s="17" t="n">
        <v>18000</v>
      </c>
      <c r="D34" s="18">
        <f>C34/C39</f>
        <v/>
      </c>
      <c r="E34" s="17" t="n">
        <v>40000</v>
      </c>
      <c r="F34" s="18">
        <f>E34/E39</f>
        <v/>
      </c>
      <c r="G34" s="17" t="n">
        <v>90000</v>
      </c>
      <c r="H34" s="18">
        <f>G34/G39</f>
        <v/>
      </c>
    </row>
    <row r="35" ht="16" customHeight="1">
      <c r="B35" s="16" t="inlineStr">
        <is>
          <t>Completion Bond (est. ~2-3% budget)</t>
        </is>
      </c>
      <c r="C35" s="17" t="n">
        <v>15000</v>
      </c>
      <c r="D35" s="18">
        <f>C35/C39</f>
        <v/>
      </c>
      <c r="E35" s="17" t="n">
        <v>50000</v>
      </c>
      <c r="F35" s="18">
        <f>E35/E39</f>
        <v/>
      </c>
      <c r="G35" s="17" t="n">
        <v>125000</v>
      </c>
      <c r="H35" s="18">
        <f>G35/G39</f>
        <v/>
      </c>
    </row>
    <row r="36" ht="16" customHeight="1">
      <c r="B36" s="16" t="inlineStr">
        <is>
          <t>Festival / Marketing Seed</t>
        </is>
      </c>
      <c r="C36" s="17" t="n">
        <v>20000</v>
      </c>
      <c r="D36" s="18">
        <f>C36/C39</f>
        <v/>
      </c>
      <c r="E36" s="17" t="n">
        <v>50000</v>
      </c>
      <c r="F36" s="18">
        <f>E36/E39</f>
        <v/>
      </c>
      <c r="G36" s="17" t="n">
        <v>120000</v>
      </c>
      <c r="H36" s="18">
        <f>G36/G39</f>
        <v/>
      </c>
    </row>
    <row r="37" ht="16" customHeight="1">
      <c r="B37" s="19" t="inlineStr">
        <is>
          <t>G&amp;A SUBTOTAL</t>
        </is>
      </c>
      <c r="C37" s="20" t="n">
        <v>73000</v>
      </c>
      <c r="D37" s="18">
        <f>C37/C39</f>
        <v/>
      </c>
      <c r="E37" s="20" t="n">
        <v>185000</v>
      </c>
      <c r="F37" s="18">
        <f>E37/E39</f>
        <v/>
      </c>
      <c r="G37" s="20" t="n">
        <v>445000</v>
      </c>
      <c r="H37" s="18">
        <f>G37/G39</f>
        <v/>
      </c>
    </row>
    <row r="38" ht="16" customHeight="1">
      <c r="B38" s="19" t="inlineStr">
        <is>
          <t>CONTINGENCY (~10%)</t>
        </is>
      </c>
      <c r="C38" s="20" t="n">
        <v>75000</v>
      </c>
      <c r="D38" s="18">
        <f>C38/C39</f>
        <v/>
      </c>
      <c r="E38" s="20" t="n">
        <v>200000</v>
      </c>
      <c r="F38" s="18">
        <f>E38/E39</f>
        <v/>
      </c>
      <c r="G38" s="20" t="n">
        <v>500000</v>
      </c>
      <c r="H38" s="18">
        <f>G38/G39</f>
        <v/>
      </c>
    </row>
    <row r="39" ht="16" customHeight="1">
      <c r="B39" s="19" t="inlineStr">
        <is>
          <t>TOTAL PRODUCTION BUDGET</t>
        </is>
      </c>
      <c r="C39" s="21" t="n">
        <v>745000</v>
      </c>
      <c r="D39" s="18">
        <f>C39/C39</f>
        <v/>
      </c>
      <c r="E39" s="21" t="n">
        <v>1915000</v>
      </c>
      <c r="F39" s="18">
        <f>E39/E39</f>
        <v/>
      </c>
      <c r="G39" s="21" t="n">
        <v>4950000</v>
      </c>
      <c r="H39" s="18">
        <f>G39/G39</f>
        <v/>
      </c>
    </row>
    <row r="41" ht="24" customHeight="1">
      <c r="B41" s="22" t="inlineStr">
        <is>
          <t>Note: All figures are anonymized illustrative examples for pitching purposes. Actual budgets vary by genre, location, union status, and schedule. Completion bond estimated at ~2% of budget.</t>
        </is>
      </c>
    </row>
  </sheetData>
  <mergeCells count="6">
    <mergeCell ref="B32:H32"/>
    <mergeCell ref="B41:H4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20" customHeight="1">
      <c r="B2" s="3" t="inlineStr">
        <is>
          <t xml:space="preserve">  CAPITAL STACK  —  Financing Sources by Budget Tier</t>
        </is>
      </c>
    </row>
    <row r="3" ht="20" customHeight="1">
      <c r="B3" s="11" t="inlineStr">
        <is>
          <t>Financing Source</t>
        </is>
      </c>
      <c r="C3" s="12" t="inlineStr">
        <is>
          <t>Type</t>
        </is>
      </c>
      <c r="D3" s="12" t="inlineStr">
        <is>
          <t>Risk Tier</t>
        </is>
      </c>
      <c r="E3" s="12" t="inlineStr">
        <is>
          <t>Tier 1 $750K</t>
        </is>
      </c>
      <c r="F3" s="12" t="inlineStr">
        <is>
          <t>% Budget</t>
        </is>
      </c>
      <c r="G3" s="12" t="inlineStr">
        <is>
          <t>Tier 2 $2M</t>
        </is>
      </c>
      <c r="H3" s="12" t="inlineStr">
        <is>
          <t>% Budget</t>
        </is>
      </c>
      <c r="I3" s="12" t="inlineStr">
        <is>
          <t>Tier 3 $5M</t>
        </is>
      </c>
      <c r="J3" s="12" t="inlineStr">
        <is>
          <t>% Budget</t>
        </is>
      </c>
    </row>
    <row r="4" ht="18" customHeight="1">
      <c r="B4" s="23" t="inlineStr">
        <is>
          <t>SENIOR DEBT (First Position)</t>
        </is>
      </c>
      <c r="C4" s="14" t="n"/>
      <c r="D4" s="14" t="n"/>
      <c r="E4" s="14" t="n"/>
      <c r="F4" s="14" t="n"/>
      <c r="G4" s="14" t="n"/>
      <c r="H4" s="14" t="n"/>
      <c r="I4" s="14" t="n"/>
      <c r="J4" s="15" t="n"/>
    </row>
    <row r="5" ht="28" customHeight="1">
      <c r="B5" s="24" t="inlineStr">
        <is>
          <t>Tax Credit / Incentive Loan
(90% advance vs. credit)</t>
        </is>
      </c>
      <c r="C5" s="25" t="inlineStr">
        <is>
          <t>Debt</t>
        </is>
      </c>
      <c r="D5" s="25" t="inlineStr">
        <is>
          <t>Lowest</t>
        </is>
      </c>
      <c r="E5" s="17" t="n">
        <v>187000</v>
      </c>
      <c r="F5" s="18">
        <f>E5/745000</f>
        <v/>
      </c>
      <c r="G5" s="17" t="n">
        <v>478750</v>
      </c>
      <c r="H5" s="18">
        <f>G5/1915000</f>
        <v/>
      </c>
      <c r="I5" s="17" t="n">
        <v>1237500</v>
      </c>
      <c r="J5" s="18">
        <f>I5/4950000</f>
        <v/>
      </c>
    </row>
    <row r="6" ht="28" customHeight="1">
      <c r="B6" s="24" t="inlineStr">
        <is>
          <t>International Pre-Sale Loan
(90% advance vs. MG)</t>
        </is>
      </c>
      <c r="C6" s="25" t="inlineStr">
        <is>
          <t>Debt</t>
        </is>
      </c>
      <c r="D6" s="25" t="inlineStr">
        <is>
          <t>Low</t>
        </is>
      </c>
      <c r="E6" s="26" t="n">
        <v>0</v>
      </c>
      <c r="F6" s="18">
        <f>E6/745000</f>
        <v/>
      </c>
      <c r="G6" s="26" t="n">
        <v>0</v>
      </c>
      <c r="H6" s="18">
        <f>G6/1915000</f>
        <v/>
      </c>
      <c r="I6" s="17" t="n">
        <v>500000</v>
      </c>
      <c r="J6" s="18">
        <f>I6/4950000</f>
        <v/>
      </c>
    </row>
    <row r="7" ht="18" customHeight="1">
      <c r="B7" s="24" t="inlineStr">
        <is>
          <t>Domestic MG / Output Deal</t>
        </is>
      </c>
      <c r="C7" s="25" t="inlineStr">
        <is>
          <t>Debt</t>
        </is>
      </c>
      <c r="D7" s="25" t="inlineStr">
        <is>
          <t>Low</t>
        </is>
      </c>
      <c r="E7" s="26" t="n">
        <v>0</v>
      </c>
      <c r="F7" s="18">
        <f>E7/745000</f>
        <v/>
      </c>
      <c r="G7" s="26" t="n">
        <v>0</v>
      </c>
      <c r="H7" s="18">
        <f>G7/1915000</f>
        <v/>
      </c>
      <c r="I7" s="17" t="n">
        <v>250000</v>
      </c>
      <c r="J7" s="18">
        <f>I7/4950000</f>
        <v/>
      </c>
    </row>
    <row r="8" ht="18" customHeight="1">
      <c r="B8" s="27" t="inlineStr">
        <is>
          <t>SENIOR DEBT SUBTOTAL</t>
        </is>
      </c>
      <c r="C8" s="28" t="n"/>
      <c r="D8" s="28" t="n"/>
      <c r="E8" s="20" t="n">
        <v>187000</v>
      </c>
      <c r="F8" s="29">
        <f>E8/745000</f>
        <v/>
      </c>
      <c r="G8" s="20" t="n">
        <v>478750</v>
      </c>
      <c r="H8" s="29">
        <f>G8/1915000</f>
        <v/>
      </c>
      <c r="I8" s="20" t="n">
        <v>1987500</v>
      </c>
      <c r="J8" s="29">
        <f>I8/4950000</f>
        <v/>
      </c>
    </row>
    <row r="9" ht="18" customHeight="1">
      <c r="B9" s="23" t="inlineStr">
        <is>
          <t>MEZZANINE / GAP (Second Position)</t>
        </is>
      </c>
      <c r="C9" s="14" t="n"/>
      <c r="D9" s="14" t="n"/>
      <c r="E9" s="14" t="n"/>
      <c r="F9" s="14" t="n"/>
      <c r="G9" s="14" t="n"/>
      <c r="H9" s="14" t="n"/>
      <c r="I9" s="14" t="n"/>
      <c r="J9" s="15" t="n"/>
    </row>
    <row r="10" ht="18" customHeight="1">
      <c r="B10" s="24" t="inlineStr">
        <is>
          <t>Gap Loan (vs. unsold territories)</t>
        </is>
      </c>
      <c r="C10" s="25" t="inlineStr">
        <is>
          <t>Debt</t>
        </is>
      </c>
      <c r="D10" s="25" t="inlineStr">
        <is>
          <t>Medium</t>
        </is>
      </c>
      <c r="E10" s="26" t="n">
        <v>0</v>
      </c>
      <c r="F10" s="18">
        <f>E10/745000</f>
        <v/>
      </c>
      <c r="G10" s="26" t="n">
        <v>0</v>
      </c>
      <c r="H10" s="18">
        <f>G10/1915000</f>
        <v/>
      </c>
      <c r="I10" s="17" t="n">
        <v>500000</v>
      </c>
      <c r="J10" s="18">
        <f>I10/4950000</f>
        <v/>
      </c>
    </row>
    <row r="11" ht="18" customHeight="1">
      <c r="B11" s="24" t="inlineStr">
        <is>
          <t>Mezzanine Note (12-20% target return)</t>
        </is>
      </c>
      <c r="C11" s="25" t="inlineStr">
        <is>
          <t>Debt</t>
        </is>
      </c>
      <c r="D11" s="25" t="inlineStr">
        <is>
          <t>Medium</t>
        </is>
      </c>
      <c r="E11" s="26" t="n">
        <v>0</v>
      </c>
      <c r="F11" s="18">
        <f>E11/745000</f>
        <v/>
      </c>
      <c r="G11" s="17" t="n">
        <v>192000</v>
      </c>
      <c r="H11" s="18">
        <f>G11/1915000</f>
        <v/>
      </c>
      <c r="I11" s="26" t="n">
        <v>0</v>
      </c>
      <c r="J11" s="18">
        <f>I11/4950000</f>
        <v/>
      </c>
    </row>
    <row r="12" ht="18" customHeight="1">
      <c r="B12" s="27" t="inlineStr">
        <is>
          <t>GAP / MEZZ SUBTOTAL</t>
        </is>
      </c>
      <c r="C12" s="28" t="n"/>
      <c r="D12" s="28" t="n"/>
      <c r="E12" s="30" t="n">
        <v>0</v>
      </c>
      <c r="F12" s="29">
        <f>E12/745000</f>
        <v/>
      </c>
      <c r="G12" s="20" t="n">
        <v>192000</v>
      </c>
      <c r="H12" s="29">
        <f>G12/1915000</f>
        <v/>
      </c>
      <c r="I12" s="20" t="n">
        <v>500000</v>
      </c>
      <c r="J12" s="29">
        <f>I12/4950000</f>
        <v/>
      </c>
    </row>
    <row r="13" ht="18" customHeight="1">
      <c r="B13" s="23" t="inlineStr">
        <is>
          <t>EQUITY (Third Position — at-risk capital)</t>
        </is>
      </c>
      <c r="C13" s="14" t="n"/>
      <c r="D13" s="14" t="n"/>
      <c r="E13" s="14" t="n"/>
      <c r="F13" s="14" t="n"/>
      <c r="G13" s="14" t="n"/>
      <c r="H13" s="14" t="n"/>
      <c r="I13" s="14" t="n"/>
      <c r="J13" s="15" t="n"/>
    </row>
    <row r="14" ht="18" customHeight="1">
      <c r="B14" s="24" t="inlineStr">
        <is>
          <t>Lead Equity Investor(s)</t>
        </is>
      </c>
      <c r="C14" s="25" t="inlineStr">
        <is>
          <t>Equity</t>
        </is>
      </c>
      <c r="D14" s="25" t="inlineStr">
        <is>
          <t>High</t>
        </is>
      </c>
      <c r="E14" s="17" t="n">
        <v>410000</v>
      </c>
      <c r="F14" s="18">
        <f>E14/745000</f>
        <v/>
      </c>
      <c r="G14" s="17" t="n">
        <v>820000</v>
      </c>
      <c r="H14" s="18">
        <f>G14/1915000</f>
        <v/>
      </c>
      <c r="I14" s="17" t="n">
        <v>1600000</v>
      </c>
      <c r="J14" s="18">
        <f>I14/4950000</f>
        <v/>
      </c>
    </row>
    <row r="15" ht="18" customHeight="1">
      <c r="B15" s="24" t="inlineStr">
        <is>
          <t>Co-Investor(s)</t>
        </is>
      </c>
      <c r="C15" s="25" t="inlineStr">
        <is>
          <t>Equity</t>
        </is>
      </c>
      <c r="D15" s="25" t="inlineStr">
        <is>
          <t>High</t>
        </is>
      </c>
      <c r="E15" s="26" t="n">
        <v>0</v>
      </c>
      <c r="F15" s="18">
        <f>E15/745000</f>
        <v/>
      </c>
      <c r="G15" s="26" t="n">
        <v>0</v>
      </c>
      <c r="H15" s="18">
        <f>G15/1915000</f>
        <v/>
      </c>
      <c r="I15" s="17" t="n">
        <v>500000</v>
      </c>
      <c r="J15" s="18">
        <f>I15/4950000</f>
        <v/>
      </c>
    </row>
    <row r="16" ht="18" customHeight="1">
      <c r="B16" s="24" t="inlineStr">
        <is>
          <t>Producer / Deferred</t>
        </is>
      </c>
      <c r="C16" s="25" t="inlineStr">
        <is>
          <t>Equity</t>
        </is>
      </c>
      <c r="D16" s="25" t="inlineStr">
        <is>
          <t>High</t>
        </is>
      </c>
      <c r="E16" s="26" t="n">
        <v>0</v>
      </c>
      <c r="F16" s="18">
        <f>E16/745000</f>
        <v/>
      </c>
      <c r="G16" s="17" t="n">
        <v>100000</v>
      </c>
      <c r="H16" s="18">
        <f>G16/1915000</f>
        <v/>
      </c>
      <c r="I16" s="17" t="n">
        <v>100000</v>
      </c>
      <c r="J16" s="18">
        <f>I16/4950000</f>
        <v/>
      </c>
    </row>
    <row r="17" ht="18" customHeight="1">
      <c r="B17" s="27" t="inlineStr">
        <is>
          <t>EQUITY SUBTOTAL</t>
        </is>
      </c>
      <c r="C17" s="28" t="n"/>
      <c r="D17" s="28" t="n"/>
      <c r="E17" s="20" t="n">
        <v>410000</v>
      </c>
      <c r="F17" s="29">
        <f>E17/745000</f>
        <v/>
      </c>
      <c r="G17" s="20" t="n">
        <v>920000</v>
      </c>
      <c r="H17" s="29">
        <f>G17/1915000</f>
        <v/>
      </c>
      <c r="I17" s="20" t="n">
        <v>2200000</v>
      </c>
      <c r="J17" s="29">
        <f>I17/4950000</f>
        <v/>
      </c>
    </row>
    <row r="18" ht="18" customHeight="1">
      <c r="B18" s="23" t="inlineStr">
        <is>
          <t>SOFT MONEY / GRANTS</t>
        </is>
      </c>
      <c r="C18" s="14" t="n"/>
      <c r="D18" s="14" t="n"/>
      <c r="E18" s="14" t="n"/>
      <c r="F18" s="14" t="n"/>
      <c r="G18" s="14" t="n"/>
      <c r="H18" s="14" t="n"/>
      <c r="I18" s="14" t="n"/>
      <c r="J18" s="15" t="n"/>
    </row>
    <row r="19" ht="28" customHeight="1">
      <c r="B19" s="24" t="inlineStr">
        <is>
          <t>State Tax Credit / Rebate (direct)
(e.g., 25-35% of qualifying spend)</t>
        </is>
      </c>
      <c r="C19" s="25" t="inlineStr">
        <is>
          <t>Soft</t>
        </is>
      </c>
      <c r="D19" s="25" t="inlineStr">
        <is>
          <t>Non-dilutive</t>
        </is>
      </c>
      <c r="E19" s="17" t="n">
        <v>148000</v>
      </c>
      <c r="F19" s="18">
        <f>E19/745000</f>
        <v/>
      </c>
      <c r="G19" s="17" t="n">
        <v>319000</v>
      </c>
      <c r="H19" s="18">
        <f>G19/1915000</f>
        <v/>
      </c>
      <c r="I19" s="17" t="n">
        <v>759375</v>
      </c>
      <c r="J19" s="18">
        <f>I19/4950000</f>
        <v/>
      </c>
    </row>
    <row r="20" ht="18" customHeight="1">
      <c r="B20" s="24" t="inlineStr">
        <is>
          <t>Film Fund / Co-Production Grant</t>
        </is>
      </c>
      <c r="C20" s="25" t="inlineStr">
        <is>
          <t>Soft</t>
        </is>
      </c>
      <c r="D20" s="25" t="inlineStr">
        <is>
          <t>Non-dilutive</t>
        </is>
      </c>
      <c r="E20" s="26" t="n">
        <v>0</v>
      </c>
      <c r="F20" s="18">
        <f>E20/745000</f>
        <v/>
      </c>
      <c r="G20" s="26" t="n">
        <v>0</v>
      </c>
      <c r="H20" s="18">
        <f>G20/1915000</f>
        <v/>
      </c>
      <c r="I20" s="26" t="n">
        <v>0</v>
      </c>
      <c r="J20" s="18">
        <f>I20/4950000</f>
        <v/>
      </c>
    </row>
    <row r="21" ht="18" customHeight="1">
      <c r="B21" s="27" t="inlineStr">
        <is>
          <t>SOFT MONEY SUBTOTAL</t>
        </is>
      </c>
      <c r="C21" s="28" t="n"/>
      <c r="D21" s="28" t="n"/>
      <c r="E21" s="20" t="n">
        <v>148000</v>
      </c>
      <c r="F21" s="29">
        <f>E21/745000</f>
        <v/>
      </c>
      <c r="G21" s="20" t="n">
        <v>319000</v>
      </c>
      <c r="H21" s="29">
        <f>G21/1915000</f>
        <v/>
      </c>
      <c r="I21" s="20" t="n">
        <v>759375</v>
      </c>
      <c r="J21" s="29">
        <f>I21/4950000</f>
        <v/>
      </c>
    </row>
    <row r="22" ht="18" customHeight="1">
      <c r="B22" s="31" t="inlineStr">
        <is>
          <t>TOTAL FINANCING</t>
        </is>
      </c>
      <c r="C22" s="28" t="n"/>
      <c r="D22" s="28" t="n"/>
      <c r="E22" s="21" t="n">
        <v>745000</v>
      </c>
      <c r="F22" s="32">
        <f>E22/745000</f>
        <v/>
      </c>
      <c r="G22" s="21" t="n">
        <v>1909750</v>
      </c>
      <c r="H22" s="32">
        <f>G22/1915000</f>
        <v/>
      </c>
      <c r="I22" s="21" t="n">
        <v>5446875</v>
      </c>
      <c r="J22" s="32">
        <f>I22/4950000</f>
        <v/>
      </c>
    </row>
    <row r="24" ht="18" customHeight="1">
      <c r="B24" s="33" t="inlineStr">
        <is>
          <t xml:space="preserve">  KEY ASSUMPTIONS &amp; NOTES</t>
        </is>
      </c>
    </row>
    <row r="25" ht="18" customHeight="1">
      <c r="B25" s="34" t="inlineStr">
        <is>
          <t>Tax Credit Advance Rate:</t>
        </is>
      </c>
      <c r="C25" s="5" t="inlineStr">
        <is>
          <t>90% of expected credit/rebate value. Senior lender holds credit proceeds as collateral.</t>
        </is>
      </c>
    </row>
    <row r="26" ht="18" customHeight="1">
      <c r="B26" s="34" t="inlineStr">
        <is>
          <t>Pre-Sale Loan Threshold:</t>
        </is>
      </c>
      <c r="C26" s="5" t="inlineStr">
        <is>
          <t>Pre-sales become realistic at ~$2M+; avoided at $750K tier (signal of inexperience).</t>
        </is>
      </c>
    </row>
    <row r="27" ht="18" customHeight="1">
      <c r="B27" s="34" t="inlineStr">
        <is>
          <t>Gap Financing Cap:</t>
        </is>
      </c>
      <c r="C27" s="5" t="inlineStr">
        <is>
          <t>Gap rarely exceeds 10-15% of budget; lenders require strong sales estimates and attached agent.</t>
        </is>
      </c>
    </row>
    <row r="28" ht="18" customHeight="1">
      <c r="B28" s="34" t="inlineStr">
        <is>
          <t>Equity IRR Target:</t>
        </is>
      </c>
      <c r="C28" s="5" t="inlineStr">
        <is>
          <t>20-30%+ for film equity investors given illiquidity premium and total-loss risk.</t>
        </is>
      </c>
    </row>
    <row r="29" ht="18" customHeight="1">
      <c r="B29" s="34" t="inlineStr">
        <is>
          <t>Completion Bond:</t>
        </is>
      </c>
      <c r="C29" s="5" t="inlineStr">
        <is>
          <t>Typically ~2-3% of budget. Required by most gap/pre-sale lenders. Included in G&amp;A budget line.</t>
        </is>
      </c>
    </row>
    <row r="30" ht="18" customHeight="1">
      <c r="B30" s="34" t="inlineStr">
        <is>
          <t>LLC Structure:</t>
        </is>
      </c>
      <c r="C30" s="5" t="inlineStr">
        <is>
          <t>All investment structured through Single-Purpose LLC. Investors are Class A / Limited Members.</t>
        </is>
      </c>
    </row>
  </sheetData>
  <mergeCells count="12">
    <mergeCell ref="C26:J26"/>
    <mergeCell ref="C29:J29"/>
    <mergeCell ref="C30:J30"/>
    <mergeCell ref="B2:I2"/>
    <mergeCell ref="C25:J25"/>
    <mergeCell ref="B18:J18"/>
    <mergeCell ref="B9:J9"/>
    <mergeCell ref="C28:J28"/>
    <mergeCell ref="C27:J27"/>
    <mergeCell ref="B4:J4"/>
    <mergeCell ref="B13:J13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20" customHeight="1">
      <c r="B2" s="3" t="inlineStr">
        <is>
          <t xml:space="preserve">  REVENUE WATERFALL MODEL  —  Investor Return Calculator  |  Tier 2: $2M Example</t>
        </is>
      </c>
    </row>
    <row r="3" ht="18" customHeight="1">
      <c r="B3" s="33" t="inlineStr">
        <is>
          <t xml:space="preserve">  INPUTS &amp; ASSUMPTIONS (Blue = change these)</t>
        </is>
      </c>
    </row>
    <row r="4" ht="16" customHeight="1">
      <c r="B4" s="5" t="inlineStr">
        <is>
          <t>Production Budget</t>
        </is>
      </c>
      <c r="C4" s="17" t="n">
        <v>1915000</v>
      </c>
    </row>
    <row r="5" ht="16" customHeight="1">
      <c r="B5" s="5" t="inlineStr">
        <is>
          <t>Total Investment Raised (Equity + Gap)</t>
        </is>
      </c>
      <c r="C5" s="17" t="n">
        <v>1200000</v>
      </c>
    </row>
    <row r="6" ht="16" customHeight="1">
      <c r="B6" s="5" t="inlineStr">
        <is>
          <t>Tax Credit / Soft Money (non-dilutive)</t>
        </is>
      </c>
      <c r="C6" s="17" t="n">
        <v>319000</v>
      </c>
    </row>
    <row r="7" ht="16" customHeight="1">
      <c r="B7" s="5" t="inlineStr">
        <is>
          <t>Senior Debt (tax credit loan)</t>
        </is>
      </c>
      <c r="C7" s="17" t="n">
        <v>478750</v>
      </c>
    </row>
    <row r="8" ht="16" customHeight="1">
      <c r="B8" s="5" t="inlineStr">
        <is>
          <t>Investor Equity Contribution</t>
        </is>
      </c>
      <c r="C8" s="17" t="n">
        <v>920000</v>
      </c>
      <c r="D8" s="35" t="n">
        <v>0.2</v>
      </c>
      <c r="E8" s="36">
        <f>C8*(1+D8)</f>
        <v/>
      </c>
    </row>
    <row r="9" ht="16" customHeight="1">
      <c r="B9" s="5" t="inlineStr">
        <is>
          <t>Investor Recoupment Premium (% on top of principal)</t>
        </is>
      </c>
      <c r="C9" s="35" t="n">
        <v>0.5</v>
      </c>
    </row>
    <row r="10" ht="16" customHeight="1">
      <c r="B10" s="5" t="inlineStr">
        <is>
          <t>Investor Recoupment Hurdle (principal × 1+premium)</t>
        </is>
      </c>
      <c r="C10" s="35" t="n">
        <v>0.5</v>
      </c>
    </row>
    <row r="11" ht="8" customHeight="1">
      <c r="B11" s="5" t="inlineStr">
        <is>
          <t>Backend Profit Split — Investor Pool</t>
        </is>
      </c>
    </row>
    <row r="12" ht="16" customHeight="1">
      <c r="B12" s="5" t="inlineStr">
        <is>
          <t>Backend Profit Split — Producer / Filmmaker</t>
        </is>
      </c>
      <c r="C12" s="17" t="n">
        <v>4200000</v>
      </c>
    </row>
    <row r="13" ht="16" customHeight="1">
      <c r="B13" s="5" t="inlineStr">
        <is>
          <t>Gross Box Office / Total Revenue (all windows)</t>
        </is>
      </c>
      <c r="C13" s="35" t="n">
        <v>0.55</v>
      </c>
    </row>
    <row r="14" ht="16" customHeight="1">
      <c r="B14" s="5" t="inlineStr">
        <is>
          <t>Exhibitor/Theatrical Split (% retained by theaters)</t>
        </is>
      </c>
      <c r="C14" s="17" t="n">
        <v>300000</v>
      </c>
    </row>
    <row r="15" ht="16" customHeight="1">
      <c r="B15" s="5" t="inlineStr">
        <is>
          <t>P&amp;A / Marketing Spend</t>
        </is>
      </c>
      <c r="C15" s="35" t="n">
        <v>0.3</v>
      </c>
    </row>
    <row r="16" ht="16" customHeight="1">
      <c r="B16" s="5" t="inlineStr">
        <is>
          <t>Distribution Fee (% of net film rental)</t>
        </is>
      </c>
      <c r="C16" s="35" t="n">
        <v>0.15</v>
      </c>
    </row>
    <row r="17" ht="16" customHeight="1">
      <c r="B17" s="5" t="inlineStr">
        <is>
          <t>Sales Agent Commission (% of gross receipts)</t>
        </is>
      </c>
      <c r="C17" s="35" t="n">
        <v>0.09</v>
      </c>
    </row>
    <row r="18" ht="16" customHeight="1">
      <c r="B18" s="5" t="inlineStr">
        <is>
          <t>Senior Debt Interest Rate (annualized)</t>
        </is>
      </c>
      <c r="C18" s="17" t="n">
        <v>0</v>
      </c>
    </row>
    <row r="19" ht="16" customHeight="1">
      <c r="B19" s="5" t="inlineStr">
        <is>
          <t>Gap / Mezz Loan Amount</t>
        </is>
      </c>
      <c r="C19" s="35" t="n">
        <v>0.16</v>
      </c>
    </row>
    <row r="20" ht="16" customHeight="1">
      <c r="B20" s="5" t="inlineStr">
        <is>
          <t>Gap / Mezz Interest Rate</t>
        </is>
      </c>
    </row>
    <row r="22" ht="20" customHeight="1">
      <c r="B22" s="3" t="inlineStr">
        <is>
          <t xml:space="preserve">  WATERFALL CALCULATION  —  Step-by-Step Distribution</t>
        </is>
      </c>
    </row>
    <row r="23" ht="18" customHeight="1">
      <c r="B23" s="12" t="inlineStr">
        <is>
          <t>Step</t>
        </is>
      </c>
      <c r="C23" s="12" t="inlineStr">
        <is>
          <t>Calculation</t>
        </is>
      </c>
      <c r="D23" s="12" t="inlineStr">
        <is>
          <t>Recipient</t>
        </is>
      </c>
      <c r="E23" s="12" t="inlineStr">
        <is>
          <t>Amount ($)</t>
        </is>
      </c>
      <c r="F23" s="12" t="inlineStr">
        <is>
          <t>Cumulative Paid Out</t>
        </is>
      </c>
    </row>
    <row r="24" ht="17" customHeight="1">
      <c r="B24" s="37" t="inlineStr">
        <is>
          <t>1. Gross Revenue (all windows)</t>
        </is>
      </c>
      <c r="C24" s="37" t="inlineStr">
        <is>
          <t>Direct from assumption C12</t>
        </is>
      </c>
      <c r="D24" s="38" t="inlineStr">
        <is>
          <t>All Revenue Sources</t>
        </is>
      </c>
      <c r="E24" s="39">
        <f>C12</f>
        <v/>
      </c>
    </row>
    <row r="25" ht="17" customHeight="1">
      <c r="B25" s="37" t="inlineStr">
        <is>
          <t>2. Less: Exhibitor/Theater Take</t>
        </is>
      </c>
      <c r="C25" s="37" t="inlineStr">
        <is>
          <t>Gross × Exhibitor Split %</t>
        </is>
      </c>
      <c r="D25" s="38" t="inlineStr">
        <is>
          <t>Theater Chains</t>
        </is>
      </c>
      <c r="E25" s="39">
        <f>-C12*C13</f>
        <v/>
      </c>
    </row>
    <row r="26" ht="17" customHeight="1">
      <c r="B26" s="37" t="inlineStr">
        <is>
          <t>3. Film Rental (Net of Exhibitor)</t>
        </is>
      </c>
      <c r="C26" s="37" t="inlineStr">
        <is>
          <t>Gross − Exhibitor Take</t>
        </is>
      </c>
      <c r="D26" s="38" t="inlineStr">
        <is>
          <t>Available to Distribution</t>
        </is>
      </c>
      <c r="E26" s="39">
        <f>C12*(1-C13)</f>
        <v/>
      </c>
    </row>
    <row r="27" ht="17" customHeight="1">
      <c r="B27" s="37" t="inlineStr">
        <is>
          <t>4. Less: P&amp;A / Marketing</t>
        </is>
      </c>
      <c r="C27" s="37" t="inlineStr">
        <is>
          <t>Actual spend recouped by distributor</t>
        </is>
      </c>
      <c r="D27" s="38" t="inlineStr">
        <is>
          <t>Distributor (recoupment)</t>
        </is>
      </c>
      <c r="E27" s="39">
        <f>-C14</f>
        <v/>
      </c>
    </row>
    <row r="28" ht="17" customHeight="1">
      <c r="B28" s="37" t="inlineStr">
        <is>
          <t>5. Less: Distribution Fee</t>
        </is>
      </c>
      <c r="C28" s="37" t="inlineStr">
        <is>
          <t>Net Film Rental × Distribution Fee %</t>
        </is>
      </c>
      <c r="D28" s="38" t="inlineStr">
        <is>
          <t>Distributor (commission)</t>
        </is>
      </c>
      <c r="E28" s="39">
        <f>-(E26-E27)*C15</f>
        <v/>
      </c>
    </row>
    <row r="29" ht="17" customHeight="1">
      <c r="B29" s="37" t="inlineStr">
        <is>
          <t>6. Less: Sales Agent Commission</t>
        </is>
      </c>
      <c r="C29" s="37" t="inlineStr">
        <is>
          <t>Gross × Sales Agent %</t>
        </is>
      </c>
      <c r="D29" s="38" t="inlineStr">
        <is>
          <t>Sales Agent</t>
        </is>
      </c>
      <c r="E29" s="39">
        <f>-C12*C16</f>
        <v/>
      </c>
    </row>
    <row r="30" ht="17" customHeight="1">
      <c r="B30" s="40" t="inlineStr">
        <is>
          <t>7. NET PRODUCER PROCEEDS</t>
        </is>
      </c>
      <c r="C30" s="40" t="inlineStr">
        <is>
          <t>Revenue reaching production LLC</t>
        </is>
      </c>
      <c r="D30" s="41" t="inlineStr">
        <is>
          <t>→ Production Waterfall</t>
        </is>
      </c>
      <c r="E30" s="42">
        <f>SUM(E24:E29)</f>
        <v/>
      </c>
    </row>
    <row r="31" ht="17" customHeight="1">
      <c r="B31" s="37" t="inlineStr">
        <is>
          <t>8. Less: Senior Debt Repayment</t>
        </is>
      </c>
      <c r="C31" s="37" t="inlineStr">
        <is>
          <t>Principal + interest to senior lender</t>
        </is>
      </c>
      <c r="D31" s="38" t="inlineStr">
        <is>
          <t>Senior Lender (Bank)</t>
        </is>
      </c>
      <c r="E31" s="39">
        <f>-(C7*(1+C17))</f>
        <v/>
      </c>
    </row>
    <row r="32" ht="17" customHeight="1">
      <c r="B32" s="37" t="inlineStr">
        <is>
          <t>9. Less: Gap / Mezz Repayment</t>
        </is>
      </c>
      <c r="C32" s="37" t="inlineStr">
        <is>
          <t>Principal + interest to gap lender</t>
        </is>
      </c>
      <c r="D32" s="38" t="inlineStr">
        <is>
          <t>Gap Lender (if any)</t>
        </is>
      </c>
      <c r="E32" s="39">
        <f>-(C18*(1+C19))</f>
        <v/>
      </c>
    </row>
    <row r="33" ht="17" customHeight="1">
      <c r="B33" s="40" t="inlineStr">
        <is>
          <t>10. AVAILABLE FOR EQUITY RECOUP</t>
        </is>
      </c>
      <c r="C33" s="40" t="inlineStr">
        <is>
          <t>After all debt serviced</t>
        </is>
      </c>
      <c r="D33" s="41" t="inlineStr">
        <is>
          <t>→ Equity Pool</t>
        </is>
      </c>
      <c r="E33" s="42">
        <f>E30+E31+E32</f>
        <v/>
      </c>
    </row>
    <row r="34" ht="17" customHeight="1">
      <c r="B34" s="37" t="inlineStr">
        <is>
          <t>11. Investor Recoupment (120% hurdle)</t>
        </is>
      </c>
      <c r="C34" s="37" t="inlineStr">
        <is>
          <t>Principal × (1 + 20% premium)</t>
        </is>
      </c>
      <c r="D34" s="38" t="inlineStr">
        <is>
          <t>Equity Investor(s)</t>
        </is>
      </c>
      <c r="E34" s="39">
        <f>MIN(E33,-E8)</f>
        <v/>
      </c>
    </row>
    <row r="35" ht="17" customHeight="1">
      <c r="B35" s="40" t="inlineStr">
        <is>
          <t>12. REMAINING FOR PROFIT SPLIT</t>
        </is>
      </c>
      <c r="C35" s="40" t="inlineStr">
        <is>
          <t>After investor recoupment hurdle met</t>
        </is>
      </c>
      <c r="D35" s="41" t="inlineStr">
        <is>
          <t>→ Net Profit Pool</t>
        </is>
      </c>
      <c r="E35" s="42">
        <f>E33+E34</f>
        <v/>
      </c>
    </row>
    <row r="36" ht="17" customHeight="1">
      <c r="B36" s="37" t="inlineStr">
        <is>
          <t>13. Investor Backend (50% of net profit)</t>
        </is>
      </c>
      <c r="C36" s="37" t="inlineStr">
        <is>
          <t>50% of remaining proceeds</t>
        </is>
      </c>
      <c r="D36" s="38" t="inlineStr">
        <is>
          <t>Equity Investor(s) — backend</t>
        </is>
      </c>
      <c r="E36" s="39">
        <f>MAX(0,E35)*C9</f>
        <v/>
      </c>
    </row>
    <row r="37" ht="17" customHeight="1">
      <c r="B37" s="37" t="inlineStr">
        <is>
          <t>14. Producer Backend (50% of net profit)</t>
        </is>
      </c>
      <c r="C37" s="37" t="inlineStr">
        <is>
          <t>50% of remaining proceeds</t>
        </is>
      </c>
      <c r="D37" s="38" t="inlineStr">
        <is>
          <t>Producer / Filmmaker</t>
        </is>
      </c>
      <c r="E37" s="39">
        <f>MAX(0,E35)*C10</f>
        <v/>
      </c>
    </row>
    <row r="38" ht="17" customHeight="1">
      <c r="B38" s="40" t="inlineStr">
        <is>
          <t>15. TOTAL INVESTOR RETURN</t>
        </is>
      </c>
      <c r="C38" s="40" t="inlineStr">
        <is>
          <t>Recoupment + Backend</t>
        </is>
      </c>
      <c r="D38" s="41" t="inlineStr">
        <is>
          <t>Equity Investor(s) — TOTAL</t>
        </is>
      </c>
      <c r="E38" s="42">
        <f>ABS(E34)+E36</f>
        <v/>
      </c>
    </row>
    <row r="40" ht="8" customHeight="1"/>
    <row r="41" ht="18" customHeight="1">
      <c r="B41" s="33" t="inlineStr">
        <is>
          <t xml:space="preserve">  INVESTOR RETURN SUMMARY</t>
        </is>
      </c>
    </row>
    <row r="42" ht="17" customHeight="1">
      <c r="B42" s="40" t="inlineStr">
        <is>
          <t>Total Investor Equity Contributed</t>
        </is>
      </c>
      <c r="C42" s="42">
        <f>C8</f>
        <v/>
      </c>
    </row>
    <row r="43" ht="17" customHeight="1">
      <c r="B43" s="43" t="inlineStr">
        <is>
          <t>Investor Recoupment (120% hurdle)</t>
        </is>
      </c>
      <c r="C43" s="39">
        <f>ABS(E34)</f>
        <v/>
      </c>
    </row>
    <row r="44" ht="17" customHeight="1">
      <c r="B44" s="43" t="inlineStr">
        <is>
          <t>Investor Backend Share</t>
        </is>
      </c>
      <c r="C44" s="39">
        <f>E36</f>
        <v/>
      </c>
    </row>
    <row r="45" ht="17" customHeight="1">
      <c r="B45" s="40" t="inlineStr">
        <is>
          <t>Total Investor Return ($)</t>
        </is>
      </c>
      <c r="C45" s="42">
        <f>E38</f>
        <v/>
      </c>
    </row>
    <row r="46" ht="17" customHeight="1">
      <c r="B46" s="43" t="inlineStr">
        <is>
          <t>Net Profit to Investor ($)</t>
        </is>
      </c>
      <c r="C46" s="39">
        <f>E38-C8</f>
        <v/>
      </c>
    </row>
    <row r="47" ht="17" customHeight="1">
      <c r="B47" s="34" t="inlineStr">
        <is>
          <t>Return Multiple (MOIC)</t>
        </is>
      </c>
      <c r="C47" s="44">
        <f>E38/C8</f>
        <v/>
      </c>
    </row>
    <row r="48" ht="17" customHeight="1">
      <c r="B48" s="34" t="inlineStr">
        <is>
          <t>Simple ROI %</t>
        </is>
      </c>
      <c r="C48" s="45">
        <f>(E38-C8)/C8</f>
        <v/>
      </c>
    </row>
    <row r="49" ht="17" customHeight="1">
      <c r="B49" s="43" t="inlineStr">
        <is>
          <t>Breakeven Revenue Required</t>
        </is>
      </c>
      <c r="C49" s="39">
        <f>C8*(1+D8)+C7*(1+C17)+C14+C12*C13+C12*C16</f>
        <v/>
      </c>
    </row>
    <row r="51" ht="28" customHeight="1">
      <c r="B51" s="22" t="inlineStr">
        <is>
          <t>Note: "Simple ROI" is a cash-on-cash return, not IRR. Actual IRR depends on investment timeline (typically 18-36 months to recoupment). Adjust all blue inputs to model your project.</t>
        </is>
      </c>
    </row>
  </sheetData>
  <mergeCells count="5">
    <mergeCell ref="B51:F51"/>
    <mergeCell ref="B3:E3"/>
    <mergeCell ref="B22:F22"/>
    <mergeCell ref="B41:F4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  <col width="14" customWidth="1" min="10" max="10"/>
    <col width="14" customWidth="1" min="11" max="11"/>
  </cols>
  <sheetData>
    <row r="2" ht="20" customHeight="1">
      <c r="B2" s="3" t="inlineStr">
        <is>
          <t xml:space="preserve">  REVENUE FORECAST  —  Distribution Windows &amp; Assumptions  |  All Three Budget Tiers</t>
        </is>
      </c>
    </row>
    <row r="3" ht="20" customHeight="1">
      <c r="B3" s="11" t="inlineStr">
        <is>
          <t>Revenue Stream / Window</t>
        </is>
      </c>
      <c r="C3" s="12" t="inlineStr">
        <is>
          <t>Tier 1 $750K</t>
        </is>
      </c>
      <c r="D3" s="12" t="inlineStr"/>
      <c r="E3" s="12" t="inlineStr">
        <is>
          <t>Tier 2 $2M</t>
        </is>
      </c>
      <c r="F3" s="12" t="inlineStr"/>
      <c r="G3" s="12" t="inlineStr">
        <is>
          <t>Tier 3 $5M</t>
        </is>
      </c>
      <c r="H3" s="12" t="inlineStr"/>
      <c r="I3" s="12" t="inlineStr">
        <is>
          <t>Key Assumption / Driver</t>
        </is>
      </c>
    </row>
    <row r="4" ht="16" customHeight="1">
      <c r="B4" s="46" t="inlineStr"/>
      <c r="C4" s="46" t="inlineStr">
        <is>
          <t>Base ($)</t>
        </is>
      </c>
      <c r="D4" s="46" t="inlineStr">
        <is>
          <t>Upside ($)</t>
        </is>
      </c>
      <c r="E4" s="46" t="inlineStr">
        <is>
          <t>Base ($)</t>
        </is>
      </c>
      <c r="F4" s="46" t="inlineStr">
        <is>
          <t>Upside ($)</t>
        </is>
      </c>
      <c r="G4" s="46" t="inlineStr">
        <is>
          <t>Base ($)</t>
        </is>
      </c>
      <c r="H4" s="46" t="inlineStr">
        <is>
          <t>Upside ($)</t>
        </is>
      </c>
      <c r="I4" s="46" t="inlineStr">
        <is>
          <t>Notes</t>
        </is>
      </c>
    </row>
    <row r="5" ht="16" customHeight="1">
      <c r="B5" s="24" t="inlineStr">
        <is>
          <t>THEATRICAL — DOMESTIC</t>
        </is>
      </c>
      <c r="I5" s="10" t="b">
        <v>1</v>
      </c>
    </row>
    <row r="6" ht="16" customHeight="1">
      <c r="B6" s="24" t="inlineStr">
        <is>
          <t>Domestic Box Office (Gross)</t>
        </is>
      </c>
      <c r="C6" s="17" t="n">
        <v>500000</v>
      </c>
      <c r="D6" s="17" t="n">
        <v>1500000</v>
      </c>
      <c r="E6" s="17" t="n">
        <v>1800000</v>
      </c>
      <c r="F6" s="17" t="n">
        <v>5000000</v>
      </c>
      <c r="G6" s="17" t="n">
        <v>4000000</v>
      </c>
      <c r="H6" s="17" t="n">
        <v>12000000</v>
      </c>
    </row>
    <row r="7" ht="18" customHeight="1">
      <c r="B7" s="24" t="inlineStr">
        <is>
          <t>Producer's Share of Film Rental
(after 30% distrib. fee, P&amp;A)</t>
        </is>
      </c>
      <c r="C7" s="17" t="n">
        <v>75000</v>
      </c>
      <c r="D7" s="17" t="n">
        <v>225000</v>
      </c>
      <c r="E7" s="17" t="n">
        <v>270000</v>
      </c>
      <c r="F7" s="17" t="n">
        <v>750000</v>
      </c>
      <c r="G7" s="17" t="n">
        <v>600000</v>
      </c>
      <c r="H7" s="17" t="n">
        <v>1800000</v>
      </c>
    </row>
    <row r="8" ht="16" customHeight="1">
      <c r="B8" s="24" t="inlineStr">
        <is>
          <t>THEATRICAL — INTERNATIONAL</t>
        </is>
      </c>
      <c r="I8" s="10" t="b">
        <v>1</v>
      </c>
    </row>
    <row r="9" ht="16" customHeight="1">
      <c r="B9" s="24" t="inlineStr">
        <is>
          <t>Foreign Sales (MGs + overages)</t>
        </is>
      </c>
      <c r="C9" s="26" t="n">
        <v>0</v>
      </c>
      <c r="D9" s="17" t="n">
        <v>50000</v>
      </c>
      <c r="E9" s="17" t="n">
        <v>100000</v>
      </c>
      <c r="F9" s="17" t="n">
        <v>500000</v>
      </c>
      <c r="G9" s="17" t="n">
        <v>600000</v>
      </c>
      <c r="H9" s="17" t="n">
        <v>2500000</v>
      </c>
    </row>
    <row r="10" ht="16" customHeight="1">
      <c r="B10" s="24" t="inlineStr">
        <is>
          <t>STREAMING — SVOD</t>
        </is>
      </c>
      <c r="I10" s="10" t="b">
        <v>1</v>
      </c>
    </row>
    <row r="11" ht="18" customHeight="1">
      <c r="B11" s="24" t="inlineStr">
        <is>
          <t>SVOD License Fee
(Netflix / Prime / Apple)</t>
        </is>
      </c>
      <c r="C11" s="17" t="n">
        <v>50000</v>
      </c>
      <c r="D11" s="17" t="n">
        <v>200000</v>
      </c>
      <c r="E11" s="17" t="n">
        <v>250000</v>
      </c>
      <c r="F11" s="17" t="n">
        <v>1200000</v>
      </c>
      <c r="G11" s="17" t="n">
        <v>750000</v>
      </c>
      <c r="H11" s="17" t="n">
        <v>4000000</v>
      </c>
    </row>
    <row r="12" ht="16" customHeight="1">
      <c r="B12" s="24" t="inlineStr">
        <is>
          <t>STREAMING — AVOD / FAST</t>
        </is>
      </c>
      <c r="I12" s="10" t="b">
        <v>1</v>
      </c>
    </row>
    <row r="13" ht="18" customHeight="1">
      <c r="B13" s="24" t="inlineStr">
        <is>
          <t>AVOD / FAST Channels
(Tubi, Pluto, Peacock, Roku)</t>
        </is>
      </c>
      <c r="C13" s="17" t="n">
        <v>5000</v>
      </c>
      <c r="D13" s="17" t="n">
        <v>30000</v>
      </c>
      <c r="E13" s="17" t="n">
        <v>20000</v>
      </c>
      <c r="F13" s="17" t="n">
        <v>75000</v>
      </c>
      <c r="G13" s="17" t="n">
        <v>60000</v>
      </c>
      <c r="H13" s="17" t="n">
        <v>250000</v>
      </c>
    </row>
    <row r="14" ht="16" customHeight="1">
      <c r="B14" s="24" t="inlineStr">
        <is>
          <t>STREAMING — TVOD</t>
        </is>
      </c>
      <c r="I14" s="10" t="b">
        <v>1</v>
      </c>
    </row>
    <row r="15" ht="18" customHeight="1">
      <c r="B15" s="24" t="inlineStr">
        <is>
          <t>Transactional VOD
(Apple/Amazon rental/purchase)</t>
        </is>
      </c>
      <c r="C15" s="17" t="n">
        <v>8000</v>
      </c>
      <c r="D15" s="17" t="n">
        <v>40000</v>
      </c>
      <c r="E15" s="17" t="n">
        <v>25000</v>
      </c>
      <c r="F15" s="17" t="n">
        <v>120000</v>
      </c>
      <c r="G15" s="17" t="n">
        <v>80000</v>
      </c>
      <c r="H15" s="17" t="n">
        <v>400000</v>
      </c>
    </row>
    <row r="16" ht="16" customHeight="1">
      <c r="B16" s="24" t="inlineStr">
        <is>
          <t>TELEVISION</t>
        </is>
      </c>
      <c r="I16" s="10" t="b">
        <v>1</v>
      </c>
    </row>
    <row r="17" ht="18" customHeight="1">
      <c r="B17" s="24" t="inlineStr">
        <is>
          <t>Domestic TV License
(Cable, premium, PBS)</t>
        </is>
      </c>
      <c r="C17" s="17" t="n">
        <v>10000</v>
      </c>
      <c r="D17" s="17" t="n">
        <v>50000</v>
      </c>
      <c r="E17" s="17" t="n">
        <v>50000</v>
      </c>
      <c r="F17" s="17" t="n">
        <v>250000</v>
      </c>
      <c r="G17" s="17" t="n">
        <v>200000</v>
      </c>
      <c r="H17" s="17" t="n">
        <v>1000000</v>
      </c>
    </row>
    <row r="18" ht="16" customHeight="1">
      <c r="B18" s="24" t="inlineStr">
        <is>
          <t>International TV Sales</t>
        </is>
      </c>
      <c r="C18" s="26" t="n">
        <v>0</v>
      </c>
      <c r="D18" s="17" t="n">
        <v>20000</v>
      </c>
      <c r="E18" s="17" t="n">
        <v>30000</v>
      </c>
      <c r="F18" s="17" t="n">
        <v>200000</v>
      </c>
      <c r="G18" s="17" t="n">
        <v>150000</v>
      </c>
      <c r="H18" s="17" t="n">
        <v>750000</v>
      </c>
    </row>
    <row r="19" ht="16" customHeight="1">
      <c r="B19" s="24" t="inlineStr">
        <is>
          <t>ANCILLARY</t>
        </is>
      </c>
      <c r="I19" s="10" t="b">
        <v>1</v>
      </c>
    </row>
    <row r="20" ht="16" customHeight="1">
      <c r="B20" s="24" t="inlineStr">
        <is>
          <t>Educational / Non-Theatrical Licensing</t>
        </is>
      </c>
      <c r="C20" s="17" t="n">
        <v>3000</v>
      </c>
      <c r="D20" s="17" t="n">
        <v>15000</v>
      </c>
      <c r="E20" s="17" t="n">
        <v>10000</v>
      </c>
      <c r="F20" s="17" t="n">
        <v>50000</v>
      </c>
      <c r="G20" s="17" t="n">
        <v>40000</v>
      </c>
      <c r="H20" s="17" t="n">
        <v>200000</v>
      </c>
    </row>
    <row r="21" ht="16" customHeight="1">
      <c r="B21" s="24" t="inlineStr">
        <is>
          <t>Merchandise / Soundtrack (if applicable)</t>
        </is>
      </c>
      <c r="C21" s="26" t="n">
        <v>0</v>
      </c>
      <c r="D21" s="17" t="n">
        <v>10000</v>
      </c>
      <c r="E21" s="26" t="n">
        <v>0</v>
      </c>
      <c r="F21" s="17" t="n">
        <v>30000</v>
      </c>
      <c r="G21" s="26" t="n">
        <v>0</v>
      </c>
      <c r="H21" s="17" t="n">
        <v>150000</v>
      </c>
    </row>
    <row r="22" ht="16" customHeight="1">
      <c r="B22" s="24" t="inlineStr">
        <is>
          <t>TAX INCENTIVES (direct / rebate)</t>
        </is>
      </c>
      <c r="I22" s="10" t="b">
        <v>1</v>
      </c>
    </row>
    <row r="23" ht="16" customHeight="1">
      <c r="B23" s="24" t="inlineStr">
        <is>
          <t>State Production Tax Credit / Rebate</t>
        </is>
      </c>
      <c r="C23" s="17" t="n">
        <v>148000</v>
      </c>
      <c r="D23" s="17" t="n">
        <v>185000</v>
      </c>
      <c r="E23" s="17" t="n">
        <v>319000</v>
      </c>
      <c r="F23" s="17" t="n">
        <v>399000</v>
      </c>
      <c r="G23" s="17" t="n">
        <v>759375</v>
      </c>
      <c r="H23" s="17" t="n">
        <v>949000</v>
      </c>
    </row>
    <row r="24" ht="16" customHeight="1">
      <c r="B24" s="24" t="inlineStr">
        <is>
          <t>International Co-Production Incentive</t>
        </is>
      </c>
      <c r="C24" s="26" t="n">
        <v>0</v>
      </c>
      <c r="D24" s="26" t="n">
        <v>0</v>
      </c>
      <c r="E24" s="26" t="n">
        <v>0</v>
      </c>
      <c r="F24" s="17" t="n">
        <v>100000</v>
      </c>
      <c r="G24" s="26" t="n">
        <v>0</v>
      </c>
      <c r="H24" s="17" t="n">
        <v>250000</v>
      </c>
    </row>
    <row r="25" ht="16" customHeight="1">
      <c r="B25" s="31" t="inlineStr">
        <is>
          <t>TOTAL GROSS REVENUE</t>
        </is>
      </c>
      <c r="C25" s="21">
        <f>C6+C7+C9+C11+C13+C15+C17+C18+C20+C21+C23+C24</f>
        <v/>
      </c>
      <c r="D25" s="21">
        <f>D6+D7+D9+D11+D13+D15+D17+D18+D20+D21+D23+D24</f>
        <v/>
      </c>
      <c r="E25" s="21">
        <f>E6+E7+E9+E11+E13+E15+E17+E18+E20+E21+E23+E24</f>
        <v/>
      </c>
      <c r="F25" s="21">
        <f>F6+F7+F9+F11+F13+F15+F17+F18+F20+F21+F23+F24</f>
        <v/>
      </c>
      <c r="G25" s="21">
        <f>G6+G7+G9+G11+G13+G15+G17+G18+G20+G21+G23+G24</f>
        <v/>
      </c>
      <c r="H25" s="21">
        <f>H6+H7+H9+H11+H13+H15+H17+H18+H20+H21+H23+H24</f>
        <v/>
      </c>
    </row>
    <row r="27" ht="10" customHeight="1"/>
    <row r="28" ht="18" customHeight="1">
      <c r="B28" s="33" t="inlineStr">
        <is>
          <t xml:space="preserve">  DISTRIBUTION WINDOW SEQUENCE  —  Compressed 2026 Model</t>
        </is>
      </c>
    </row>
    <row r="29" ht="18" customHeight="1">
      <c r="B29" s="47" t="inlineStr">
        <is>
          <t>Window</t>
        </is>
      </c>
      <c r="C29" s="12" t="inlineStr">
        <is>
          <t>Timing Post-Release</t>
        </is>
      </c>
      <c r="D29" s="12" t="inlineStr">
        <is>
          <t>Platform Type</t>
        </is>
      </c>
      <c r="E29" s="12" t="inlineStr">
        <is>
          <t>Revenue Model</t>
        </is>
      </c>
      <c r="F29" s="12" t="inlineStr">
        <is>
          <t>Typical % of Total Rev</t>
        </is>
      </c>
      <c r="G29" s="14" t="n"/>
      <c r="H29" s="14" t="n"/>
      <c r="I29" s="14" t="n"/>
      <c r="J29" s="14" t="n"/>
      <c r="K29" s="15" t="n"/>
    </row>
    <row r="30" ht="17" customHeight="1">
      <c r="B30" s="43" t="inlineStr">
        <is>
          <t>Theatrical (if applicable)</t>
        </is>
      </c>
      <c r="C30" s="48" t="inlineStr">
        <is>
          <t>Months 1-2 (17-45 day window)</t>
        </is>
      </c>
      <c r="D30" s="48" t="inlineStr">
        <is>
          <t>Cinemas</t>
        </is>
      </c>
      <c r="E30" s="48" t="inlineStr">
        <is>
          <t>Ticket split (50/50 exhibitor/distrib.)</t>
        </is>
      </c>
      <c r="F30" s="49" t="inlineStr">
        <is>
          <t>5-25%</t>
        </is>
      </c>
    </row>
    <row r="31" ht="17" customHeight="1">
      <c r="B31" s="5" t="inlineStr">
        <is>
          <t>PVOD / TVOD Premium</t>
        </is>
      </c>
      <c r="C31" s="25" t="inlineStr">
        <is>
          <t>Months 2-3 (30-60 days post-theatrical)</t>
        </is>
      </c>
      <c r="D31" s="25" t="inlineStr">
        <is>
          <t>Apple, Amazon, Vudu</t>
        </is>
      </c>
      <c r="E31" s="25" t="inlineStr">
        <is>
          <t>80/20 transactional split</t>
        </is>
      </c>
      <c r="F31" s="50" t="inlineStr">
        <is>
          <t>10-20%</t>
        </is>
      </c>
    </row>
    <row r="32" ht="17" customHeight="1">
      <c r="B32" s="43" t="inlineStr">
        <is>
          <t>SVOD License</t>
        </is>
      </c>
      <c r="C32" s="48" t="inlineStr">
        <is>
          <t>Months 6-12</t>
        </is>
      </c>
      <c r="D32" s="48" t="inlineStr">
        <is>
          <t>Netflix, Prime, Apple TV+, MUBI</t>
        </is>
      </c>
      <c r="E32" s="48" t="inlineStr">
        <is>
          <t>Flat license fee negotiated upfront</t>
        </is>
      </c>
      <c r="F32" s="49" t="inlineStr">
        <is>
          <t>30-50%</t>
        </is>
      </c>
    </row>
    <row r="33" ht="17" customHeight="1">
      <c r="B33" s="5" t="inlineStr">
        <is>
          <t>AVOD / FAST</t>
        </is>
      </c>
      <c r="C33" s="25" t="inlineStr">
        <is>
          <t>Months 12-24+</t>
        </is>
      </c>
      <c r="D33" s="25" t="inlineStr">
        <is>
          <t>Tubi, Pluto, Roku, Peacock</t>
        </is>
      </c>
      <c r="E33" s="25" t="inlineStr">
        <is>
          <t>Ad revenue share</t>
        </is>
      </c>
      <c r="F33" s="50" t="inlineStr">
        <is>
          <t>5-10%</t>
        </is>
      </c>
    </row>
    <row r="34" ht="17" customHeight="1">
      <c r="B34" s="43" t="inlineStr">
        <is>
          <t>Domestic TV</t>
        </is>
      </c>
      <c r="C34" s="48" t="inlineStr">
        <is>
          <t>Year 2+</t>
        </is>
      </c>
      <c r="D34" s="48" t="inlineStr">
        <is>
          <t>Cable, PBS, premium OTA</t>
        </is>
      </c>
      <c r="E34" s="48" t="inlineStr">
        <is>
          <t>License fee per run</t>
        </is>
      </c>
      <c r="F34" s="49" t="inlineStr">
        <is>
          <t>5-15%</t>
        </is>
      </c>
    </row>
    <row r="35" ht="17" customHeight="1">
      <c r="B35" s="5" t="inlineStr">
        <is>
          <t>International TV / Foreign Sales</t>
        </is>
      </c>
      <c r="C35" s="25" t="inlineStr">
        <is>
          <t>Year 1-3</t>
        </is>
      </c>
      <c r="D35" s="25" t="inlineStr">
        <is>
          <t>Territory distributors via sales agent</t>
        </is>
      </c>
      <c r="E35" s="25" t="inlineStr">
        <is>
          <t>MGs + overages</t>
        </is>
      </c>
      <c r="F35" s="50" t="inlineStr">
        <is>
          <t>10-30%</t>
        </is>
      </c>
    </row>
    <row r="36" ht="17" customHeight="1">
      <c r="B36" s="43" t="inlineStr">
        <is>
          <t>Ancillary / Library</t>
        </is>
      </c>
      <c r="C36" s="48" t="inlineStr">
        <is>
          <t>Ongoing</t>
        </is>
      </c>
      <c r="D36" s="48" t="inlineStr">
        <is>
          <t>Educational, airlines, VOD platforms</t>
        </is>
      </c>
      <c r="E36" s="48" t="inlineStr">
        <is>
          <t>Licensing fees</t>
        </is>
      </c>
      <c r="F36" s="49" t="inlineStr">
        <is>
          <t>2-5%</t>
        </is>
      </c>
    </row>
  </sheetData>
  <mergeCells count="18">
    <mergeCell ref="I16:K16"/>
    <mergeCell ref="I19:K19"/>
    <mergeCell ref="I10:K10"/>
    <mergeCell ref="F34:K34"/>
    <mergeCell ref="F33:K33"/>
    <mergeCell ref="I22:K22"/>
    <mergeCell ref="I14:K14"/>
    <mergeCell ref="F36:K36"/>
    <mergeCell ref="I5:K5"/>
    <mergeCell ref="F32:K32"/>
    <mergeCell ref="F31:K31"/>
    <mergeCell ref="I8:K8"/>
    <mergeCell ref="F35:K35"/>
    <mergeCell ref="I12:K12"/>
    <mergeCell ref="B2:K2"/>
    <mergeCell ref="B28:K28"/>
    <mergeCell ref="F29:K29"/>
    <mergeCell ref="F30:K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0" customHeight="1">
      <c r="B2" s="3" t="inlineStr">
        <is>
          <t xml:space="preserve">  SENSITIVITY ANALYSIS  —  IRR / ROI / MOIC by Revenue &amp; Distribution Scenario</t>
        </is>
      </c>
    </row>
    <row r="3" ht="20" customHeight="1">
      <c r="B3" s="33" t="inlineStr">
        <is>
          <t xml:space="preserve">  TABLE 1: Investor ROI Matrix  —  Tier 2 ($2M Budget, $920K Equity)  |  Vary Revenue × Distribution Deal Type</t>
        </is>
      </c>
    </row>
    <row r="4" ht="16" customHeight="1">
      <c r="B4" s="51" t="inlineStr">
        <is>
          <t>Budget</t>
        </is>
      </c>
      <c r="C4" s="52" t="inlineStr">
        <is>
          <t>$1,915,000</t>
        </is>
      </c>
      <c r="D4" s="53" t="inlineStr">
        <is>
          <t>Equity Investment</t>
        </is>
      </c>
      <c r="E4" s="52" t="inlineStr">
        <is>
          <t>$920,000</t>
        </is>
      </c>
      <c r="F4" s="53" t="inlineStr">
        <is>
          <t>Recoup Premium</t>
        </is>
      </c>
      <c r="G4" s="52" t="inlineStr">
        <is>
          <t>20%</t>
        </is>
      </c>
      <c r="H4" s="53" t="inlineStr">
        <is>
          <t>Backend Split (Inv)</t>
        </is>
      </c>
      <c r="I4" s="52" t="inlineStr">
        <is>
          <t>50%</t>
        </is>
      </c>
    </row>
    <row r="6" ht="28" customHeight="1">
      <c r="B6" s="47" t="inlineStr">
        <is>
          <t>Distribution Scenario \ Gross Revenue</t>
        </is>
      </c>
      <c r="C6" s="12" t="inlineStr">
        <is>
          <t>$1.0M
(Flop)</t>
        </is>
      </c>
      <c r="D6" s="12" t="inlineStr">
        <is>
          <t>$1.5M
(Below Avg)</t>
        </is>
      </c>
      <c r="E6" s="12" t="inlineStr">
        <is>
          <t>$2.5M
(Modest)</t>
        </is>
      </c>
      <c r="F6" s="12" t="inlineStr">
        <is>
          <t>$4.2M
(Good)</t>
        </is>
      </c>
      <c r="G6" s="12" t="inlineStr">
        <is>
          <t>$7.0M
(Hit)</t>
        </is>
      </c>
      <c r="H6" s="12" t="inlineStr">
        <is>
          <t>$12.0M
(Breakout)</t>
        </is>
      </c>
    </row>
    <row r="7" ht="28" customHeight="1">
      <c r="B7" s="27" t="inlineStr">
        <is>
          <t>Streaming-First
(no P&amp;A, 15% distrib)</t>
        </is>
      </c>
      <c r="C7" s="54" t="n">
        <v>-0.7981929347826087</v>
      </c>
      <c r="D7" s="54" t="n">
        <v>-0.3905842391304348</v>
      </c>
      <c r="E7" s="54" t="n">
        <v>0.3123165760869565</v>
      </c>
      <c r="F7" s="54" t="n">
        <v>1.005251358695652</v>
      </c>
      <c r="G7" s="54" t="n">
        <v>2.146555706521739</v>
      </c>
      <c r="H7" s="54" t="n">
        <v>4.184599184782608</v>
      </c>
    </row>
    <row r="8" ht="28" customHeight="1">
      <c r="B8" s="27" t="inlineStr">
        <is>
          <t>Limited Theatrical
(20% exhib, 25% distrib)</t>
        </is>
      </c>
      <c r="C8" s="54" t="n">
        <v>-1</v>
      </c>
      <c r="D8" s="54" t="n">
        <v>-0.9068885869565217</v>
      </c>
      <c r="E8" s="54" t="n">
        <v>-0.3851494565217392</v>
      </c>
      <c r="F8" s="54" t="n">
        <v>0.3509035326086957</v>
      </c>
      <c r="G8" s="54" t="n">
        <v>1.081338315217391</v>
      </c>
      <c r="H8" s="54" t="n">
        <v>2.385686141304348</v>
      </c>
    </row>
    <row r="9" ht="28" customHeight="1">
      <c r="B9" s="27" t="inlineStr">
        <is>
          <t>Mid-Wide Theatrical
(50% exhib, 30% distrib)</t>
        </is>
      </c>
      <c r="C9" s="54" t="n">
        <v>-1</v>
      </c>
      <c r="D9" s="54" t="n">
        <v>-1</v>
      </c>
      <c r="E9" s="54" t="n">
        <v>-1</v>
      </c>
      <c r="F9" s="54" t="n">
        <v>-0.8824320652173913</v>
      </c>
      <c r="G9" s="54" t="n">
        <v>-0.2737364130434783</v>
      </c>
      <c r="H9" s="54" t="n">
        <v>0.5066100543478258</v>
      </c>
    </row>
    <row r="10" ht="28" customHeight="1">
      <c r="B10" s="27" t="inlineStr">
        <is>
          <t>Wide Release
(55% exhib, 35% distrib, high P&amp;A)</t>
        </is>
      </c>
      <c r="C10" s="54" t="n">
        <v>-1</v>
      </c>
      <c r="D10" s="54" t="n">
        <v>-1</v>
      </c>
      <c r="E10" s="54" t="n">
        <v>-1</v>
      </c>
      <c r="F10" s="54" t="n">
        <v>-1</v>
      </c>
      <c r="G10" s="54" t="n">
        <v>-0.906888586956522</v>
      </c>
      <c r="H10" s="54" t="n">
        <v>-0.1324320652173918</v>
      </c>
    </row>
    <row r="13" ht="18" customHeight="1">
      <c r="B13" s="33" t="inlineStr">
        <is>
          <t xml:space="preserve">  TABLE 2: Investment Multiple (MOIC) — Same Matrix</t>
        </is>
      </c>
    </row>
    <row r="14" ht="28" customHeight="1">
      <c r="B14" s="47" t="inlineStr">
        <is>
          <t>Distribution Scenario \ Gross Revenue</t>
        </is>
      </c>
      <c r="C14" s="12" t="inlineStr">
        <is>
          <t>$1.0M
(Flop)</t>
        </is>
      </c>
      <c r="D14" s="12" t="inlineStr">
        <is>
          <t>$1.5M
(Below Avg)</t>
        </is>
      </c>
      <c r="E14" s="12" t="inlineStr">
        <is>
          <t>$2.5M
(Modest)</t>
        </is>
      </c>
      <c r="F14" s="12" t="inlineStr">
        <is>
          <t>$4.2M
(Good)</t>
        </is>
      </c>
      <c r="G14" s="12" t="inlineStr">
        <is>
          <t>$7.0M
(Hit)</t>
        </is>
      </c>
      <c r="H14" s="12" t="inlineStr">
        <is>
          <t>$12.0M
(Breakout)</t>
        </is>
      </c>
    </row>
    <row r="15" ht="28" customHeight="1">
      <c r="B15" s="27" t="inlineStr">
        <is>
          <t>Streaming-First
(no P&amp;A, 15% distrib)</t>
        </is>
      </c>
      <c r="C15" s="55" t="n">
        <v>0.2018070652173913</v>
      </c>
      <c r="D15" s="55" t="n">
        <v>0.6094157608695652</v>
      </c>
      <c r="E15" s="55" t="n">
        <v>1.312316576086957</v>
      </c>
      <c r="F15" s="55" t="n">
        <v>2.005251358695652</v>
      </c>
      <c r="G15" s="55" t="n">
        <v>3.146555706521739</v>
      </c>
      <c r="H15" s="55" t="n">
        <v>5.184599184782608</v>
      </c>
    </row>
    <row r="16" ht="28" customHeight="1">
      <c r="B16" s="27" t="inlineStr">
        <is>
          <t>Limited Theatrical
(20% exhib, 25% distrib)</t>
        </is>
      </c>
      <c r="C16" s="55" t="n">
        <v>0</v>
      </c>
      <c r="D16" s="55" t="n">
        <v>0.0931114130434782</v>
      </c>
      <c r="E16" s="55" t="n">
        <v>0.6148505434782608</v>
      </c>
      <c r="F16" s="55" t="n">
        <v>1.350903532608696</v>
      </c>
      <c r="G16" s="55" t="n">
        <v>2.081338315217391</v>
      </c>
      <c r="H16" s="55" t="n">
        <v>3.385686141304348</v>
      </c>
    </row>
    <row r="17" ht="28" customHeight="1">
      <c r="B17" s="27" t="inlineStr">
        <is>
          <t>Mid-Wide Theatrical
(50% exhib, 30% distrib)</t>
        </is>
      </c>
      <c r="C17" s="55" t="n">
        <v>0</v>
      </c>
      <c r="D17" s="55" t="n">
        <v>0</v>
      </c>
      <c r="E17" s="55" t="n">
        <v>0</v>
      </c>
      <c r="F17" s="55" t="n">
        <v>0.1175679347826086</v>
      </c>
      <c r="G17" s="55" t="n">
        <v>0.7262635869565217</v>
      </c>
      <c r="H17" s="55" t="n">
        <v>1.506610054347826</v>
      </c>
    </row>
    <row r="18" ht="28" customHeight="1">
      <c r="B18" s="27" t="inlineStr">
        <is>
          <t>Wide Release
(55% exhib, 35% distrib, high P&amp;A)</t>
        </is>
      </c>
      <c r="C18" s="55" t="n">
        <v>0</v>
      </c>
      <c r="D18" s="55" t="n">
        <v>0</v>
      </c>
      <c r="E18" s="55" t="n">
        <v>0</v>
      </c>
      <c r="F18" s="55" t="n">
        <v>0</v>
      </c>
      <c r="G18" s="55" t="n">
        <v>0.09311141304347795</v>
      </c>
      <c r="H18" s="55" t="n">
        <v>0.8675679347826082</v>
      </c>
    </row>
    <row r="21" ht="18" customHeight="1">
      <c r="B21" s="33" t="inlineStr">
        <is>
          <t xml:space="preserve">  TABLE 3: Breakeven Gross Revenue Required for Equity Recoupment</t>
        </is>
      </c>
    </row>
    <row r="22" ht="18" customHeight="1">
      <c r="B22" s="11" t="inlineStr">
        <is>
          <t>Distribution Scenario</t>
        </is>
      </c>
      <c r="C22" s="12" t="inlineStr">
        <is>
          <t>Breakeven Gross Rev</t>
        </is>
      </c>
      <c r="D22" s="12" t="inlineStr">
        <is>
          <t>As % of Budget</t>
        </is>
      </c>
      <c r="E22" s="12" t="inlineStr">
        <is>
          <t>Notes</t>
        </is>
      </c>
      <c r="F22" s="14" t="n"/>
      <c r="G22" s="14" t="n"/>
      <c r="H22" s="14" t="n"/>
      <c r="I22" s="14" t="n"/>
      <c r="J22" s="14" t="n"/>
      <c r="K22" s="15" t="n"/>
    </row>
    <row r="23" ht="28" customHeight="1">
      <c r="B23" s="27" t="inlineStr">
        <is>
          <t>Streaming-First
(no P&amp;A, 15% distrib)</t>
        </is>
      </c>
      <c r="C23" s="56" t="n">
        <v>2191000</v>
      </c>
      <c r="D23" s="18" t="n">
        <v>1.144</v>
      </c>
      <c r="E23" s="5" t="inlineStr">
        <is>
          <t>Low overhead; fastest to recoup</t>
        </is>
      </c>
    </row>
    <row r="24" ht="28" customHeight="1">
      <c r="B24" s="57" t="inlineStr">
        <is>
          <t>Limited Theatrical
(20% exhib, 25% distrib)</t>
        </is>
      </c>
      <c r="C24" s="56" t="n">
        <v>3482000</v>
      </c>
      <c r="D24" s="18" t="n">
        <v>1.818</v>
      </c>
      <c r="E24" s="5" t="inlineStr">
        <is>
          <t>Moderate theatrical risk</t>
        </is>
      </c>
    </row>
    <row r="25" ht="28" customHeight="1">
      <c r="B25" s="27" t="inlineStr">
        <is>
          <t>Mid-Wide Theatrical
(50% exhib, 30% distrib)</t>
        </is>
      </c>
      <c r="C25" s="56" t="n">
        <v>7861000</v>
      </c>
      <c r="D25" s="18" t="n">
        <v>4.105</v>
      </c>
      <c r="E25" s="5" t="inlineStr">
        <is>
          <t>High P&amp;A creates significant hurdle</t>
        </is>
      </c>
    </row>
    <row r="26" ht="28" customHeight="1">
      <c r="B26" s="57" t="inlineStr">
        <is>
          <t>Wide Release
(55% exhib, 35% distrib, high P&amp;A)</t>
        </is>
      </c>
      <c r="C26" s="56" t="n">
        <v>11415000</v>
      </c>
      <c r="D26" s="18" t="n">
        <v>5.961</v>
      </c>
      <c r="E26" s="5" t="inlineStr">
        <is>
          <t>Very high breakeven; requires wide theatrical success</t>
        </is>
      </c>
    </row>
  </sheetData>
  <mergeCells count="9">
    <mergeCell ref="E23:K23"/>
    <mergeCell ref="E22:K22"/>
    <mergeCell ref="E26:K26"/>
    <mergeCell ref="B13:K13"/>
    <mergeCell ref="B21:K21"/>
    <mergeCell ref="B2:K2"/>
    <mergeCell ref="E24:K24"/>
    <mergeCell ref="E25:K25"/>
    <mergeCell ref="B3:K3"/>
  </mergeCells>
  <conditionalFormatting sqref="C7:H10">
    <cfRule type="colorScale" priority="1">
      <colorScale>
        <cfvo type="min"/>
        <cfvo type="num" val="0"/>
        <cfvo type="max"/>
        <color rgb="00F8696B"/>
        <color rgb="00FFFF00"/>
        <color rgb="0063BE7B"/>
      </colorScale>
    </cfRule>
  </conditionalFormatting>
  <conditionalFormatting sqref="C15:H18">
    <cfRule type="colorScale" priority="1">
      <colorScale>
        <cfvo type="min"/>
        <cfvo type="num" val="0"/>
        <cfvo type="max"/>
        <color rgb="00F8696B"/>
        <color rgb="00FFFF00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45" customWidth="1" min="4" max="4"/>
    <col width="40" customWidth="1" min="5" max="5"/>
    <col width="35" customWidth="1" min="6" max="6"/>
  </cols>
  <sheetData>
    <row r="2" ht="22" customHeight="1">
      <c r="B2" s="3" t="inlineStr">
        <is>
          <t xml:space="preserve">  PITCH DECK SLIDE OUTLINE  —  Investor-Facing Presentation Structure  |  ~14 Slides</t>
        </is>
      </c>
    </row>
    <row r="3" ht="20" customHeight="1">
      <c r="B3" s="47" t="inlineStr">
        <is>
          <t>#</t>
        </is>
      </c>
      <c r="C3" s="11" t="inlineStr">
        <is>
          <t>Slide Title</t>
        </is>
      </c>
      <c r="D3" s="58" t="inlineStr">
        <is>
          <t>Core Content / What to Include</t>
        </is>
      </c>
      <c r="E3" s="58" t="inlineStr">
        <is>
          <t>Level of Detail: Early Meeting vs. Due Diligence</t>
        </is>
      </c>
      <c r="F3" s="58" t="inlineStr">
        <is>
          <t>Design / Format Guidance</t>
        </is>
      </c>
    </row>
    <row r="4" ht="60" customHeight="1">
      <c r="B4" s="59" t="inlineStr">
        <is>
          <t>1</t>
        </is>
      </c>
      <c r="C4" s="60" t="inlineStr">
        <is>
          <t>Title &amp; Hook</t>
        </is>
      </c>
      <c r="D4" s="61" t="inlineStr">
        <is>
          <t>Film title, tagline, genre, director name, key cast (if attached), project status. Strong visual matching film tone.</t>
        </is>
      </c>
      <c r="E4" s="62" t="inlineStr">
        <is>
          <t>EARLY: Just the title slide + logline — make them want to ask more.
DD: Include formal LLC name, offering terms summary.</t>
        </is>
      </c>
      <c r="F4" s="61" t="inlineStr">
        <is>
          <t>Full-bleed cinematic image. Title in bold. Minimal text.</t>
        </is>
      </c>
    </row>
    <row r="5" ht="60" customHeight="1">
      <c r="B5" s="63" t="inlineStr">
        <is>
          <t>2</t>
        </is>
      </c>
      <c r="C5" s="64" t="inlineStr">
        <is>
          <t>Logline &amp; Synopsis</t>
        </is>
      </c>
      <c r="D5" s="65" t="inlineStr">
        <is>
          <t>1-sentence logline + 150-word synopsis. Reveal plot fully — investors want the whole story. Genre + tone indicator.</t>
        </is>
      </c>
      <c r="E5" s="66" t="inlineStr">
        <is>
          <t>EARLY: Logline only + 3-sentence teaser.
DD: Full synopsis + director statement (1 paragraph).</t>
        </is>
      </c>
      <c r="F5" s="65" t="inlineStr">
        <is>
          <t>Clean typography. 1-2 strong stills or concept art.</t>
        </is>
      </c>
    </row>
    <row r="6" ht="60" customHeight="1">
      <c r="B6" s="59" t="inlineStr">
        <is>
          <t>3</t>
        </is>
      </c>
      <c r="C6" s="60" t="inlineStr">
        <is>
          <t>The Opportunity
(Market Problem/Hook)</t>
        </is>
      </c>
      <c r="D6" s="61" t="inlineStr">
        <is>
          <t>Why this story now? Audience hunger, cultural moment, underserved niche. Comparable audience data. Box office / streaming trend supporting the genre.</t>
        </is>
      </c>
      <c r="E6" s="62" t="inlineStr">
        <is>
          <t>EARLY: 1-2 stats + emotional "why now" narrative.
DD: Full market analysis with comps data from AFM/IMDb Pro.</t>
        </is>
      </c>
      <c r="F6" s="61" t="inlineStr">
        <is>
          <t>Use 1 clear data chart + brief bullet points.</t>
        </is>
      </c>
    </row>
    <row r="7" ht="60" customHeight="1">
      <c r="B7" s="63" t="inlineStr">
        <is>
          <t>4</t>
        </is>
      </c>
      <c r="C7" s="64" t="inlineStr">
        <is>
          <t>Comparable Films
(Comps)</t>
        </is>
      </c>
      <c r="D7" s="65" t="inlineStr">
        <is>
          <t>List 4-6 comp titles (same genre, similar budget, recent): budget, box office, streaming revenue, ROI where known. Source: IMDb Pro, The Numbers.</t>
        </is>
      </c>
      <c r="E7" s="66" t="inlineStr">
        <is>
          <t>EARLY: 3-4 comps with headline numbers.
DD: Full comps table + multiple ROI analysis + distribution details.</t>
        </is>
      </c>
      <c r="F7" s="65" t="inlineStr">
        <is>
          <t>Table format preferred. Show budget vs. return clearly.</t>
        </is>
      </c>
    </row>
    <row r="8" ht="60" customHeight="1">
      <c r="B8" s="59" t="inlineStr">
        <is>
          <t>5</t>
        </is>
      </c>
      <c r="C8" s="60" t="inlineStr">
        <is>
          <t>Creative Package
(Team &amp; Talent)</t>
        </is>
      </c>
      <c r="D8" s="61" t="inlineStr">
        <is>
          <t>Director + key bio/credits. Producer(s). Lead cast (confirmed or attached). Key dept heads. Sales agent (if attached).</t>
        </is>
      </c>
      <c r="E8" s="62" t="inlineStr">
        <is>
          <t>EARLY: Names + 1-line credentials.
DD: Full bios + credits, letters of intent, talent agreements summary.</t>
        </is>
      </c>
      <c r="F8" s="61" t="inlineStr">
        <is>
          <t>Headshots + brief bios. Keep it visual.</t>
        </is>
      </c>
    </row>
    <row r="9" ht="60" customHeight="1">
      <c r="B9" s="63" t="inlineStr">
        <is>
          <t>6</t>
        </is>
      </c>
      <c r="C9" s="64" t="inlineStr">
        <is>
          <t>Production Plan
&amp; Schedule</t>
        </is>
      </c>
      <c r="D9" s="65" t="inlineStr">
        <is>
          <t>Principal photography dates, key locations, shoot days, SAG tier, post-production timeline, festival/release target.</t>
        </is>
      </c>
      <c r="E9" s="66" t="inlineStr">
        <is>
          <t>EARLY: 1-page timeline visual.
DD: Full shooting schedule summary, union status, locked locations.</t>
        </is>
      </c>
      <c r="F9" s="65" t="inlineStr">
        <is>
          <t>Horizontal Gantt-style timeline. 1 page maximum.</t>
        </is>
      </c>
    </row>
    <row r="10" ht="60" customHeight="1">
      <c r="B10" s="59" t="inlineStr">
        <is>
          <t>7</t>
        </is>
      </c>
      <c r="C10" s="60" t="inlineStr">
        <is>
          <t>Budget Summary</t>
        </is>
      </c>
      <c r="D10" s="61" t="inlineStr">
        <is>
          <t>Total budget by major category (ATL, production, post, G&amp;A, contingency). NOT a line-item budget — just the high-level breakdown.</t>
        </is>
      </c>
      <c r="E10" s="62" t="inlineStr">
        <is>
          <t>EARLY: 5-6 budget categories in a pie/bar chart.
DD: Full top sheet budget by department (provided separately as Excel).</t>
        </is>
      </c>
      <c r="F10" s="61" t="inlineStr">
        <is>
          <t>Pie or horizontal bar chart. Keep clean — no line items.</t>
        </is>
      </c>
    </row>
    <row r="11" ht="60" customHeight="1">
      <c r="B11" s="63" t="inlineStr">
        <is>
          <t>8</t>
        </is>
      </c>
      <c r="C11" s="64" t="inlineStr">
        <is>
          <t>Capital Stack
&amp; Financing Plan</t>
        </is>
      </c>
      <c r="D11" s="65" t="inlineStr">
        <is>
          <t>Visual breakdown of funding sources: equity %, tax incentive %, debt %, pre-sales %. State tax credit program referenced. Gap/mezz status.</t>
        </is>
      </c>
      <c r="E11" s="66" t="inlineStr">
        <is>
          <t>EARLY: Visual stack showing % of each source.
DD: Full capital stack table with advance rates, lender commitments, LLC terms.</t>
        </is>
      </c>
      <c r="F11" s="65" t="inlineStr">
        <is>
          <t>Stacked bar or visual stack diagram. 1 slide.</t>
        </is>
      </c>
    </row>
    <row r="12" ht="60" customHeight="1">
      <c r="B12" s="59" t="inlineStr">
        <is>
          <t>9</t>
        </is>
      </c>
      <c r="C12" s="60" t="inlineStr">
        <is>
          <t>Revenue Projections
&amp; Distribution Strategy</t>
        </is>
      </c>
      <c r="D12" s="61" t="inlineStr">
        <is>
          <t>Revenue by window (theatrical, SVOD, AVOD, TVOD, TV, international). Base/upside scenarios. Distribution plan (sales agent, festival strategy, self-distrib. or pre-sold).</t>
        </is>
      </c>
      <c r="E12" s="62" t="inlineStr">
        <is>
          <t>EARLY: 3 scenarios (conservative/base/upside) as a visual table.
DD: Full revenue model (link to Forecast tab in Excel), distribution deck from sales agent.</t>
        </is>
      </c>
      <c r="F12" s="61" t="inlineStr">
        <is>
          <t>Bar chart with 3 scenarios. Show key assumptions.</t>
        </is>
      </c>
    </row>
    <row r="13" ht="60" customHeight="1">
      <c r="B13" s="63" t="inlineStr">
        <is>
          <t>10</t>
        </is>
      </c>
      <c r="C13" s="64" t="inlineStr">
        <is>
          <t>Waterfall &amp; Investor Terms</t>
        </is>
      </c>
      <c r="D13" s="65" t="inlineStr">
        <is>
          <t>Simple waterfall diagram: distribution fees → senior debt repayment → equity recoupment (120% hurdle) → 50/50 backend split. Define "Net Proceeds." Investor vehicle: LLC (Class A Members). Min. investment.</t>
        </is>
      </c>
      <c r="E13" s="66" t="inlineStr">
        <is>
          <t>EARLY: Clean waterfall diagram with percentages. Just show who gets paid in what order.
DD: Operating Agreement term sheet, detailed waterfall model (Waterfall tab), legal structure memo.</t>
        </is>
      </c>
      <c r="F13" s="65" t="inlineStr">
        <is>
          <t>Flow diagram / waterfall visual. Color-code tiers. Critical slide.</t>
        </is>
      </c>
    </row>
    <row r="14" ht="60" customHeight="1">
      <c r="B14" s="59" t="inlineStr">
        <is>
          <t>11</t>
        </is>
      </c>
      <c r="C14" s="60" t="inlineStr">
        <is>
          <t>Risk Factors
&amp; Mitigants</t>
        </is>
      </c>
      <c r="D14" s="61" t="inlineStr">
        <is>
          <t>Key risks: distribution failure, cost overrun, casting, market shift, streaming acquisitions softening. Mitigants: completion bond, pre-sales, tax credits, strong package.</t>
        </is>
      </c>
      <c r="E14" s="62" t="inlineStr">
        <is>
          <t>EARLY: 4-5 risks + mitigant bullets. Show you've thought about it.
DD: Full risk section from PPM with legal disclosures.</t>
        </is>
      </c>
      <c r="F14" s="61" t="inlineStr">
        <is>
          <t>Side-by-side table: Risk | Mitigant. Clean, honest tone.</t>
        </is>
      </c>
    </row>
    <row r="15" ht="60" customHeight="1">
      <c r="B15" s="63" t="inlineStr">
        <is>
          <t>12</t>
        </is>
      </c>
      <c r="C15" s="64" t="inlineStr">
        <is>
          <t>ROI Scenarios
&amp; Sensitivity</t>
        </is>
      </c>
      <c r="D15" s="65" t="inlineStr">
        <is>
          <t>Conservative / Base / Upside: total gross revenue → investor cash-on-cash return, MOIC, estimated ROI %. Breakeven revenue required.</t>
        </is>
      </c>
      <c r="E15" s="66" t="inlineStr">
        <is>
          <t>EARLY: 3-column table. Conservative shows recoupment only; Upside shows 2-3x MOIC.
DD: Full sensitivity matrix (Sensitivity tab). IRR modeled with timeline.</t>
        </is>
      </c>
      <c r="F15" s="65" t="inlineStr">
        <is>
          <t>3-column table. Use color coding (red/yellow/green).</t>
        </is>
      </c>
    </row>
    <row r="16" ht="60" customHeight="1">
      <c r="B16" s="59" t="inlineStr">
        <is>
          <t>13</t>
        </is>
      </c>
      <c r="C16" s="60" t="inlineStr">
        <is>
          <t>Use of Proceeds
&amp; Timeline</t>
        </is>
      </c>
      <c r="D16" s="61" t="inlineStr">
        <is>
          <t>How investment funds are deployed: pre-production, principal photography, post-production, marketing, legal/G&amp;A. Target close date, production start, delivery date.</t>
        </is>
      </c>
      <c r="E16" s="62" t="inlineStr">
        <is>
          <t>EARLY: Brief pie + timeline visual.
DD: Detailed cash flow projection by month (add to Excel model).</t>
        </is>
      </c>
      <c r="F16" s="61" t="inlineStr">
        <is>
          <t>Timeline + pie chart. Show investor that money is tracked.</t>
        </is>
      </c>
    </row>
    <row r="17" ht="60" customHeight="1">
      <c r="B17" s="63" t="inlineStr">
        <is>
          <t>14</t>
        </is>
      </c>
      <c r="C17" s="64" t="inlineStr">
        <is>
          <t>Ask &amp; Next Steps</t>
        </is>
      </c>
      <c r="D17" s="65" t="inlineStr">
        <is>
          <t>Total raise amount. Minimum investment (typically $25K-$100K). Investment deadline. What's needed to close. Contact info. QR code to data room / executive summary PDF.</t>
        </is>
      </c>
      <c r="E17" s="66" t="inlineStr">
        <is>
          <t>EARLY: Clear "ask" in dollars + minimum ticket. Make it easy to say yes.
DD: Full subscription documents, PPM acknowledgment page.</t>
        </is>
      </c>
      <c r="F17" s="65" t="inlineStr">
        <is>
          <t>Bold headline: "We are raising $X." One CTA. Contact block.</t>
        </is>
      </c>
    </row>
    <row r="18" ht="60" customHeight="1">
      <c r="B18" s="59" t="inlineStr">
        <is>
          <t>—</t>
        </is>
      </c>
      <c r="C18" s="60" t="inlineStr">
        <is>
          <t>LEAVE-BEHIND
(One-Pager)</t>
        </is>
      </c>
      <c r="D18" s="61" t="inlineStr">
        <is>
          <t>SEPARATE DOCUMENT (1 page, front/back): Film title + logline. Key team. Budget. Capital stack summary. Investment terms in 2-3 bullets. Comp returns. Contact.</t>
        </is>
      </c>
      <c r="E18" s="62" t="inlineStr">
        <is>
          <t>Designed to leave after EARLY meetings. Must stand alone. Recipient should understand the deal without any other context.</t>
        </is>
      </c>
      <c r="F18" s="61" t="inlineStr">
        <is>
          <t>Clean branded design. Dense but scannable. Bring printed AND as PDF.</t>
        </is>
      </c>
    </row>
    <row r="19" ht="10" customHeight="1"/>
    <row r="20" ht="18" customHeight="1">
      <c r="B20" s="33" t="inlineStr">
        <is>
          <t xml:space="preserve">  PITCH DECK vs. PPM vs. ONE-PAGER  —  When to Use What</t>
        </is>
      </c>
    </row>
    <row r="21" ht="18" customHeight="1">
      <c r="B21" s="11" t="inlineStr">
        <is>
          <t>Document</t>
        </is>
      </c>
      <c r="C21" s="67" t="inlineStr">
        <is>
          <t>Length</t>
        </is>
      </c>
      <c r="D21" s="67" t="inlineStr">
        <is>
          <t>Legal Status</t>
        </is>
      </c>
      <c r="E21" s="67" t="inlineStr">
        <is>
          <t>When Shared</t>
        </is>
      </c>
      <c r="F21" s="67" t="inlineStr">
        <is>
          <t>Purpose</t>
        </is>
      </c>
    </row>
    <row r="22" ht="18" customHeight="1">
      <c r="B22" s="5" t="inlineStr">
        <is>
          <t>One-Pager</t>
        </is>
      </c>
      <c r="C22" s="68" t="inlineStr">
        <is>
          <t>1 page</t>
        </is>
      </c>
      <c r="D22" s="68" t="inlineStr">
        <is>
          <t>Not binding</t>
        </is>
      </c>
      <c r="E22" s="68" t="inlineStr">
        <is>
          <t>First contact / networking / festivals</t>
        </is>
      </c>
      <c r="F22" s="68" t="inlineStr">
        <is>
          <t>Generate interest; leave behind</t>
        </is>
      </c>
    </row>
    <row r="23" ht="18" customHeight="1">
      <c r="B23" s="43" t="inlineStr">
        <is>
          <t>Pitch Deck</t>
        </is>
      </c>
      <c r="C23" s="69" t="inlineStr">
        <is>
          <t>12-16 slides</t>
        </is>
      </c>
      <c r="D23" s="69" t="inlineStr">
        <is>
          <t>Not binding</t>
        </is>
      </c>
      <c r="E23" s="69" t="inlineStr">
        <is>
          <t>First formal investor meeting</t>
        </is>
      </c>
      <c r="F23" s="69" t="inlineStr">
        <is>
          <t>Tell the story; earn the next meeting</t>
        </is>
      </c>
    </row>
    <row r="24" ht="18" customHeight="1">
      <c r="B24" s="5" t="inlineStr">
        <is>
          <t>Executive Summary</t>
        </is>
      </c>
      <c r="C24" s="68" t="inlineStr">
        <is>
          <t>2-3 pages</t>
        </is>
      </c>
      <c r="D24" s="68" t="inlineStr">
        <is>
          <t>Not binding</t>
        </is>
      </c>
      <c r="E24" s="68" t="inlineStr">
        <is>
          <t>After deck review; pre-diligence</t>
        </is>
      </c>
      <c r="F24" s="68" t="inlineStr">
        <is>
          <t>Business overview with financials</t>
        </is>
      </c>
    </row>
    <row r="25" ht="18" customHeight="1">
      <c r="B25" s="43" t="inlineStr">
        <is>
          <t>PPM (Private Placement Memorandum)</t>
        </is>
      </c>
      <c r="C25" s="69" t="inlineStr">
        <is>
          <t>40-100 pages</t>
        </is>
      </c>
      <c r="D25" s="70" t="inlineStr">
        <is>
          <t>LEGALLY BINDING</t>
        </is>
      </c>
      <c r="E25" s="69" t="inlineStr">
        <is>
          <t>To accredited investors before close</t>
        </is>
      </c>
      <c r="F25" s="69" t="inlineStr">
        <is>
          <t>Full securities disclosure; legal protection</t>
        </is>
      </c>
    </row>
    <row r="26" ht="18" customHeight="1">
      <c r="B26" s="5" t="inlineStr">
        <is>
          <t>Operating Agreement / Subscription Docs</t>
        </is>
      </c>
      <c r="C26" s="68" t="inlineStr">
        <is>
          <t>Varies</t>
        </is>
      </c>
      <c r="D26" s="70" t="inlineStr">
        <is>
          <t>LEGALLY BINDING</t>
        </is>
      </c>
      <c r="E26" s="68" t="inlineStr">
        <is>
          <t>At close</t>
        </is>
      </c>
      <c r="F26" s="68" t="inlineStr">
        <is>
          <t>Governs investor rights and waterfall</t>
        </is>
      </c>
    </row>
  </sheetData>
  <mergeCells count="2">
    <mergeCell ref="B2:F2"/>
    <mergeCell ref="B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2026-03-31T01:42:27Z</dcterms:created>
  <dcterms:modified xmlns:dcterms="http://purl.org/dc/terms/" xmlns:xsi="http://www.w3.org/2001/XMLSchema-instance" xsi:type="dcterms:W3CDTF">2026-03-31T01:47:15Z</dcterms:modified>
</cp:coreProperties>
</file>