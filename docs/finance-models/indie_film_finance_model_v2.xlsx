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Budget" sheetId="3" state="visible" r:id="rId5"/>
    <sheet name="Capital_Stack" sheetId="4" state="visible" r:id="rId6"/>
    <sheet name="Waterfall" sheetId="5" state="visible" r:id="rId7"/>
    <sheet name="Revenue_Model" sheetId="6" state="visible" r:id="rId8"/>
    <sheet name="Sensitivity" sheetId="7" state="visible" r:id="rId9"/>
    <sheet name="Risk_Regist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<sst xmlns="http://schemas.openxmlformats.org/spreadsheetml/2006/main" count="407" uniqueCount="389">
  <si>
    <t xml:space="preserve">INDIE FILM FINANCE PLAN</t>
  </si>
  <si>
    <t xml:space="preserve">Interactive Model — Google Sheets Compatible</t>
  </si>
  <si>
    <t xml:space="preserve">HOW TO USE</t>
  </si>
  <si>
    <t xml:space="preserve">1. Open the Assumptions tab</t>
  </si>
  <si>
    <t xml:space="preserve">2. Edit BLUE cells with your numbers</t>
  </si>
  <si>
    <t xml:space="preserve">3. All other tabs update automatically</t>
  </si>
  <si>
    <t xml:space="preserve">4. Use Waterfall C3 to model revenue scenarios</t>
  </si>
  <si>
    <t xml:space="preserve">5. Upload to Google Sheets — all formulas work</t>
  </si>
  <si>
    <t xml:space="preserve">SHEET GUIDE</t>
  </si>
  <si>
    <t xml:space="preserve">Assumptions</t>
  </si>
  <si>
    <t xml:space="preserve">Master inputs — start here</t>
  </si>
  <si>
    <t xml:space="preserve">Budget</t>
  </si>
  <si>
    <t xml:space="preserve">Department-level production budget</t>
  </si>
  <si>
    <t xml:space="preserve">Capital_Stack</t>
  </si>
  <si>
    <t xml:space="preserve">Financing layers + investor terms</t>
  </si>
  <si>
    <t xml:space="preserve">Waterfall</t>
  </si>
  <si>
    <t xml:space="preserve">Revenue waterfall + return calculator</t>
  </si>
  <si>
    <t xml:space="preserve">Revenue_Model</t>
  </si>
  <si>
    <t xml:space="preserve">3-scenario distribution revenue</t>
  </si>
  <si>
    <t xml:space="preserve">Sensitivity</t>
  </si>
  <si>
    <t xml:space="preserve">ROI matrices + breakeven analysis</t>
  </si>
  <si>
    <t xml:space="preserve">Risk_Register</t>
  </si>
  <si>
    <t xml:space="preserve">Risk factors + mitigation</t>
  </si>
  <si>
    <t xml:space="preserve">COLOR LEGEND</t>
  </si>
  <si>
    <t xml:space="preserve">Blue = Input (edit these)</t>
  </si>
  <si>
    <t xml:space="preserve">Black = Formula (don't edit)</t>
  </si>
  <si>
    <t xml:space="preserve">Green = Cross-sheet link</t>
  </si>
  <si>
    <t xml:space="preserve">Not an offer of securities. Consult entertainment attorneys before raising capital.</t>
  </si>
  <si>
    <t xml:space="preserve">MASTER ASSUMPTIONS</t>
  </si>
  <si>
    <t xml:space="preserve">Blue = Input | Black = Formula | Green = Cross-Sheet Link</t>
  </si>
  <si>
    <t xml:space="preserve">Assumption</t>
  </si>
  <si>
    <t xml:space="preserve">Value</t>
  </si>
  <si>
    <t xml:space="preserve">Notes</t>
  </si>
  <si>
    <t xml:space="preserve">Benchmark</t>
  </si>
  <si>
    <t xml:space="preserve">A. PROJECT &amp; BUDGET</t>
  </si>
  <si>
    <t xml:space="preserve">Project Title</t>
  </si>
  <si>
    <t xml:space="preserve">[PROJECT TITLE]</t>
  </si>
  <si>
    <t xml:space="preserve">As it appears in legal docs</t>
  </si>
  <si>
    <t xml:space="preserve">—</t>
  </si>
  <si>
    <t xml:space="preserve">Genre</t>
  </si>
  <si>
    <t xml:space="preserve">[e.g. Thriller]</t>
  </si>
  <si>
    <t xml:space="preserve">Drives comparable film selection</t>
  </si>
  <si>
    <t xml:space="preserve">Total Production Budget ($)</t>
  </si>
  <si>
    <t xml:space="preserve">All-in: ATL+BTL+Post+G&amp;A+Bond+Contingency</t>
  </si>
  <si>
    <t xml:space="preserve">$500K–$10M</t>
  </si>
  <si>
    <t xml:space="preserve">State Tax Credit / Rebate (%)</t>
  </si>
  <si>
    <t xml:space="preserve">% qualifying in-state spend</t>
  </si>
  <si>
    <t xml:space="preserve">20%–45%</t>
  </si>
  <si>
    <t xml:space="preserve">Tax Credit Loan Advance (%)</t>
  </si>
  <si>
    <t xml:space="preserve">90% advance on tax credit</t>
  </si>
  <si>
    <t xml:space="preserve">90% typical</t>
  </si>
  <si>
    <t xml:space="preserve">Gap / Mezz Financing ($)</t>
  </si>
  <si>
    <t xml:space="preserve">Second-position; only if needed</t>
  </si>
  <si>
    <t xml:space="preserve">0–15% of budget</t>
  </si>
  <si>
    <t xml:space="preserve">Pre-Sale Loan ($)</t>
  </si>
  <si>
    <t xml:space="preserve">Against executed MG contracts</t>
  </si>
  <si>
    <t xml:space="preserve">0–20% at $2M+</t>
  </si>
  <si>
    <t xml:space="preserve">Min. Investment / Investor ($)</t>
  </si>
  <si>
    <t xml:space="preserve">Reg D 506(b) accredited</t>
  </si>
  <si>
    <t xml:space="preserve">$25K–$100K</t>
  </si>
  <si>
    <t xml:space="preserve">AUTO-CALCULATED</t>
  </si>
  <si>
    <t xml:space="preserve">Tax Credit Amount ($)</t>
  </si>
  <si>
    <t xml:space="preserve">Budget × Tax Credit %</t>
  </si>
  <si>
    <t xml:space="preserve">Auto</t>
  </si>
  <si>
    <t xml:space="preserve">Senior Debt — TC Loan ($)</t>
  </si>
  <si>
    <t xml:space="preserve">Tax Credit × Loan Advance %</t>
  </si>
  <si>
    <t xml:space="preserve">TOTAL EQUITY RAISE ($)</t>
  </si>
  <si>
    <t xml:space="preserve">Budget minus all debt = equity needed from investors</t>
  </si>
  <si>
    <t xml:space="preserve">Est. # of Investors</t>
  </si>
  <si>
    <t xml:space="preserve">Equity ÷ Min Investment</t>
  </si>
  <si>
    <t xml:space="preserve">5–30 typical</t>
  </si>
  <si>
    <t xml:space="preserve">B. INVESTOR TERMS &amp; WATERFALL</t>
  </si>
  <si>
    <t xml:space="preserve">Recoupment Premium (%)</t>
  </si>
  <si>
    <t xml:space="preserve">% above principal before backend</t>
  </si>
  <si>
    <t xml:space="preserve">15%–25%</t>
  </si>
  <si>
    <t xml:space="preserve">Investor Backend Split (%)</t>
  </si>
  <si>
    <t xml:space="preserve">% of net profit after hurdle</t>
  </si>
  <si>
    <t xml:space="preserve">40%–50%</t>
  </si>
  <si>
    <t xml:space="preserve">Producer Backend Split (%)</t>
  </si>
  <si>
    <t xml:space="preserve">Auto: 1 minus investor split</t>
  </si>
  <si>
    <t xml:space="preserve">Senior Debt Interest Rate</t>
  </si>
  <si>
    <t xml:space="preserve">Tax credit bridge</t>
  </si>
  <si>
    <t xml:space="preserve">8%–12%</t>
  </si>
  <si>
    <t xml:space="preserve">Gap Loan Interest Rate</t>
  </si>
  <si>
    <t xml:space="preserve">Higher risk capital</t>
  </si>
  <si>
    <t xml:space="preserve">12%–20%</t>
  </si>
  <si>
    <t xml:space="preserve">Loan Term (months)</t>
  </si>
  <si>
    <t xml:space="preserve">Bridge to distribution receipt</t>
  </si>
  <si>
    <t xml:space="preserve">12–36 months</t>
  </si>
  <si>
    <t xml:space="preserve">C. DISTRIBUTION ASSUMPTIONS</t>
  </si>
  <si>
    <t xml:space="preserve">Exhibitor / Theater Split (%)</t>
  </si>
  <si>
    <t xml:space="preserve">Theaters retain ~50–55%</t>
  </si>
  <si>
    <t xml:space="preserve">45%–55%</t>
  </si>
  <si>
    <t xml:space="preserve">P&amp;A / Marketing Budget ($)</t>
  </si>
  <si>
    <t xml:space="preserve">Recouped before commissions</t>
  </si>
  <si>
    <t xml:space="preserve">$50K–$2M+</t>
  </si>
  <si>
    <t xml:space="preserve">Distribution Fee (%)</t>
  </si>
  <si>
    <t xml:space="preserve">On net film rental</t>
  </si>
  <si>
    <t xml:space="preserve">25%–35%</t>
  </si>
  <si>
    <t xml:space="preserve">Sales Agent Commission (%)</t>
  </si>
  <si>
    <t xml:space="preserve">On gross foreign receipts</t>
  </si>
  <si>
    <t xml:space="preserve">10%–15%</t>
  </si>
  <si>
    <t xml:space="preserve">D. LEGAL &amp; TIMELINE</t>
  </si>
  <si>
    <t xml:space="preserve">Raise Close Target</t>
  </si>
  <si>
    <t xml:space="preserve">Q2 2026</t>
  </si>
  <si>
    <t xml:space="preserve">Legal Vehicle</t>
  </si>
  <si>
    <t xml:space="preserve">Single-Purpose LLC</t>
  </si>
  <si>
    <t xml:space="preserve">Securities Exemption</t>
  </si>
  <si>
    <t xml:space="preserve">Reg D / Rule 506(b)</t>
  </si>
  <si>
    <t xml:space="preserve">PPM Required?</t>
  </si>
  <si>
    <t xml:space="preserve">Yes — Attorney Drafted</t>
  </si>
  <si>
    <t xml:space="preserve">SAG-AFTRA Tier</t>
  </si>
  <si>
    <t xml:space="preserve">Modified Low Budget</t>
  </si>
  <si>
    <t xml:space="preserve">E&amp;O Insurance</t>
  </si>
  <si>
    <t xml:space="preserve">$1,000,000</t>
  </si>
  <si>
    <t xml:space="preserve">PRODUCTION BUDGET — Top Sheet</t>
  </si>
  <si>
    <t xml:space="preserve">Line Item</t>
  </si>
  <si>
    <t xml:space="preserve">Budget ($)</t>
  </si>
  <si>
    <t xml:space="preserve">% Total</t>
  </si>
  <si>
    <t xml:space="preserve">Prior Est.</t>
  </si>
  <si>
    <t xml:space="preserve">Variance</t>
  </si>
  <si>
    <t xml:space="preserve">ABOVE THE LINE</t>
  </si>
  <si>
    <t xml:space="preserve">Story &amp; Rights</t>
  </si>
  <si>
    <t xml:space="preserve">Option on IP rights</t>
  </si>
  <si>
    <t xml:space="preserve">Screenplay</t>
  </si>
  <si>
    <t xml:space="preserve">WGA min or negotiated</t>
  </si>
  <si>
    <t xml:space="preserve">Producer(s) Fee</t>
  </si>
  <si>
    <t xml:space="preserve">Deferral common</t>
  </si>
  <si>
    <t xml:space="preserve">Director Fee</t>
  </si>
  <si>
    <t xml:space="preserve">DGA or non-union</t>
  </si>
  <si>
    <t xml:space="preserve">Lead Cast</t>
  </si>
  <si>
    <t xml:space="preserve">SAG Modified Low Budget</t>
  </si>
  <si>
    <t xml:space="preserve">Supporting Cast</t>
  </si>
  <si>
    <t xml:space="preserve">Day players</t>
  </si>
  <si>
    <t xml:space="preserve">ABOVE SUBTOTAL</t>
  </si>
  <si>
    <t xml:space="preserve">BELOW THE LINE — PRODUCTION</t>
  </si>
  <si>
    <t xml:space="preserve">1st AD / Staff</t>
  </si>
  <si>
    <t xml:space="preserve">Coordinators+PAs</t>
  </si>
  <si>
    <t xml:space="preserve">Camera</t>
  </si>
  <si>
    <t xml:space="preserve">DP+package+lenses</t>
  </si>
  <si>
    <t xml:space="preserve">Grip &amp; Electric</t>
  </si>
  <si>
    <t xml:space="preserve">Gaffer,grip,truck</t>
  </si>
  <si>
    <t xml:space="preserve">Art Dept</t>
  </si>
  <si>
    <t xml:space="preserve">PD,set dec,props</t>
  </si>
  <si>
    <t xml:space="preserve">Wardrobe</t>
  </si>
  <si>
    <t xml:space="preserve">Costumes,rentals</t>
  </si>
  <si>
    <t xml:space="preserve">Hair &amp; Makeup</t>
  </si>
  <si>
    <t xml:space="preserve">Key MUA+hair</t>
  </si>
  <si>
    <t xml:space="preserve">Sound</t>
  </si>
  <si>
    <t xml:space="preserve">Mixer,boom,kit</t>
  </si>
  <si>
    <t xml:space="preserve">Locations</t>
  </si>
  <si>
    <t xml:space="preserve">Fees,scouts,permits</t>
  </si>
  <si>
    <t xml:space="preserve">Transportation</t>
  </si>
  <si>
    <t xml:space="preserve">Trucks,base camp</t>
  </si>
  <si>
    <t xml:space="preserve">Catering</t>
  </si>
  <si>
    <t xml:space="preserve">~30 days</t>
  </si>
  <si>
    <t xml:space="preserve">Extras</t>
  </si>
  <si>
    <t xml:space="preserve">Featured+BG</t>
  </si>
  <si>
    <t xml:space="preserve">Stunts</t>
  </si>
  <si>
    <t xml:space="preserve">Coordinator+personnel</t>
  </si>
  <si>
    <t xml:space="preserve">BELOW SUBTOTAL</t>
  </si>
  <si>
    <t xml:space="preserve">POST-PRODUCTION</t>
  </si>
  <si>
    <t xml:space="preserve">Editorial</t>
  </si>
  <si>
    <t xml:space="preserve">~12-week edit</t>
  </si>
  <si>
    <t xml:space="preserve">Color/DI</t>
  </si>
  <si>
    <t xml:space="preserve">Correction+finishing</t>
  </si>
  <si>
    <t xml:space="preserve">Music</t>
  </si>
  <si>
    <t xml:space="preserve">Composer+sync</t>
  </si>
  <si>
    <t xml:space="preserve">Sound Design/Mix</t>
  </si>
  <si>
    <t xml:space="preserve">Supervisor+sessions</t>
  </si>
  <si>
    <t xml:space="preserve">VFX/Titles</t>
  </si>
  <si>
    <t xml:space="preserve">Basic VFX</t>
  </si>
  <si>
    <t xml:space="preserve">Deliverables</t>
  </si>
  <si>
    <t xml:space="preserve">DCP+digital</t>
  </si>
  <si>
    <t xml:space="preserve">Captions</t>
  </si>
  <si>
    <t xml:space="preserve">Required by platforms</t>
  </si>
  <si>
    <t xml:space="preserve">POST-PRODUCTION SUBTOTAL</t>
  </si>
  <si>
    <t xml:space="preserve">GENERAL &amp; ADMINISTRATIVE</t>
  </si>
  <si>
    <t xml:space="preserve">Insurance+E&amp;O</t>
  </si>
  <si>
    <t xml:space="preserve">Cast,equip,GL,WC,E&amp;O</t>
  </si>
  <si>
    <t xml:space="preserve">Completion Bond</t>
  </si>
  <si>
    <t xml:space="preserve">~2.5% for lenders</t>
  </si>
  <si>
    <t xml:space="preserve">Legal</t>
  </si>
  <si>
    <t xml:space="preserve">PPM,LLC,contracts</t>
  </si>
  <si>
    <t xml:space="preserve">Accounting</t>
  </si>
  <si>
    <t xml:space="preserve">Prod accountant+CPA</t>
  </si>
  <si>
    <t xml:space="preserve">Festivals</t>
  </si>
  <si>
    <t xml:space="preserve">Entries,screeners</t>
  </si>
  <si>
    <t xml:space="preserve">Marketing Seed</t>
  </si>
  <si>
    <t xml:space="preserve">Key art,trailer,social</t>
  </si>
  <si>
    <t xml:space="preserve">GENERAL SUBTOTAL</t>
  </si>
  <si>
    <t xml:space="preserve">CONTINGENCY (10% BTL+Post)</t>
  </si>
  <si>
    <t xml:space="preserve">TOTAL PRODUCTION BUDGET</t>
  </si>
  <si>
    <t xml:space="preserve">CAPITAL STACK</t>
  </si>
  <si>
    <t xml:space="preserve">Layer</t>
  </si>
  <si>
    <t xml:space="preserve">Amount ($)</t>
  </si>
  <si>
    <t xml:space="preserve">% Budget</t>
  </si>
  <si>
    <t xml:space="preserve">Position</t>
  </si>
  <si>
    <t xml:space="preserve">Return</t>
  </si>
  <si>
    <t xml:space="preserve">SOFT MONEY</t>
  </si>
  <si>
    <t xml:space="preserve">Tax Credit/Rebate</t>
  </si>
  <si>
    <t xml:space="preserve">Non-dilutive</t>
  </si>
  <si>
    <t xml:space="preserve">N/A</t>
  </si>
  <si>
    <t xml:space="preserve">Received post-wrap</t>
  </si>
  <si>
    <t xml:space="preserve">SENIOR DEBT</t>
  </si>
  <si>
    <t xml:space="preserve">Tax Credit Bridge Loan</t>
  </si>
  <si>
    <t xml:space="preserve">1st Position</t>
  </si>
  <si>
    <t xml:space="preserve">Secured on credit</t>
  </si>
  <si>
    <t xml:space="preserve">GAP/MEZZ</t>
  </si>
  <si>
    <t xml:space="preserve">Gap Loan</t>
  </si>
  <si>
    <t xml:space="preserve">2nd Position</t>
  </si>
  <si>
    <t xml:space="preserve">If needed</t>
  </si>
  <si>
    <t xml:space="preserve">EQUITY</t>
  </si>
  <si>
    <t xml:space="preserve">Investor Pool (Class A)</t>
  </si>
  <si>
    <t xml:space="preserve">3rd Position</t>
  </si>
  <si>
    <t xml:space="preserve">Hurdle+Backend</t>
  </si>
  <si>
    <t xml:space="preserve">At-risk capital</t>
  </si>
  <si>
    <t xml:space="preserve">TOTAL FINANCING</t>
  </si>
  <si>
    <t xml:space="preserve">C4+C7+C10+C13</t>
  </si>
  <si>
    <t xml:space="preserve">REVENUE WATERFALL &amp; INVESTOR RETURN CALCULATOR</t>
  </si>
  <si>
    <t xml:space="preserve">GROSS REVENUE INPUT</t>
  </si>
  <si>
    <t xml:space="preserve">← Change to model scenarios</t>
  </si>
  <si>
    <t xml:space="preserve">Step</t>
  </si>
  <si>
    <t xml:space="preserve">Running Balance ($)</t>
  </si>
  <si>
    <t xml:space="preserve">Explanation</t>
  </si>
  <si>
    <t xml:space="preserve">① Gross Revenue</t>
  </si>
  <si>
    <t xml:space="preserve">Total revenue all windows</t>
  </si>
  <si>
    <t xml:space="preserve">② Less: Exhibitor Take</t>
  </si>
  <si>
    <t xml:space="preserve">Theaters retain ~50%</t>
  </si>
  <si>
    <t xml:space="preserve">③ Film Rental</t>
  </si>
  <si>
    <t xml:space="preserve">Net of exhibitor</t>
  </si>
  <si>
    <t xml:space="preserve">④ Less: P&amp;A</t>
  </si>
  <si>
    <t xml:space="preserve">Recouped first</t>
  </si>
  <si>
    <t xml:space="preserve">⑤ Less: Distribution Fee</t>
  </si>
  <si>
    <t xml:space="preserve">⑥ Less: SA Commission</t>
  </si>
  <si>
    <t xml:space="preserve">On intl portion ~30%</t>
  </si>
  <si>
    <t xml:space="preserve">⑦ NET PRODUCER PROCEEDS</t>
  </si>
  <si>
    <t xml:space="preserve">Enters investor waterfall</t>
  </si>
  <si>
    <t xml:space="preserve">⑧ Less: Senior Debt</t>
  </si>
  <si>
    <t xml:space="preserve">Principal + interest</t>
  </si>
  <si>
    <t xml:space="preserve">⑨ Less: Gap Repayment</t>
  </si>
  <si>
    <t xml:space="preserve">Gap + interest</t>
  </si>
  <si>
    <t xml:space="preserve">⑩ Available for Equity</t>
  </si>
  <si>
    <t xml:space="preserve">After all debt</t>
  </si>
  <si>
    <t xml:space="preserve">⑪ Investor Recoupment</t>
  </si>
  <si>
    <t xml:space="preserve">Capped at available</t>
  </si>
  <si>
    <t xml:space="preserve">⑫ Remaining for Split</t>
  </si>
  <si>
    <t xml:space="preserve">Backend pool</t>
  </si>
  <si>
    <t xml:space="preserve">⑬ Investor Backend</t>
  </si>
  <si>
    <t xml:space="preserve">Investor share</t>
  </si>
  <si>
    <t xml:space="preserve">⑭ Producer Backend</t>
  </si>
  <si>
    <t xml:space="preserve">Producer share</t>
  </si>
  <si>
    <t xml:space="preserve">INVESTOR RETURN SUMMARY</t>
  </si>
  <si>
    <t xml:space="preserve">Equity Invested</t>
  </si>
  <si>
    <t xml:space="preserve">Investor Recoupment</t>
  </si>
  <si>
    <t xml:space="preserve">Investor Backend</t>
  </si>
  <si>
    <t xml:space="preserve">TOTAL INVESTOR RETURN</t>
  </si>
  <si>
    <t xml:space="preserve">Net Profit to Investor</t>
  </si>
  <si>
    <t xml:space="preserve">MOIC</t>
  </si>
  <si>
    <t xml:space="preserve">ROI (Cash-on-Cash)</t>
  </si>
  <si>
    <t xml:space="preserve">Producer Net Proceeds</t>
  </si>
  <si>
    <t xml:space="preserve">REVENUE MODEL — Conservative / Base / Upside</t>
  </si>
  <si>
    <t xml:space="preserve">Window</t>
  </si>
  <si>
    <t xml:space="preserve">Conservative</t>
  </si>
  <si>
    <t xml:space="preserve">Base</t>
  </si>
  <si>
    <t xml:space="preserve">Upside</t>
  </si>
  <si>
    <t xml:space="preserve">THEATRICAL — DOMESTIC</t>
  </si>
  <si>
    <t xml:space="preserve">Gross Box Office</t>
  </si>
  <si>
    <t xml:space="preserve">Platform/limited release</t>
  </si>
  <si>
    <t xml:space="preserve">Less: Exhibitor</t>
  </si>
  <si>
    <t xml:space="preserve">~50% to theaters</t>
  </si>
  <si>
    <t xml:space="preserve">Less: P&amp;A</t>
  </si>
  <si>
    <t xml:space="preserve">Off the top</t>
  </si>
  <si>
    <t xml:space="preserve">Less: Dist Fee</t>
  </si>
  <si>
    <t xml:space="preserve">On net rental</t>
  </si>
  <si>
    <t xml:space="preserve">Theatrical NET</t>
  </si>
  <si>
    <t xml:space="preserve">Net to LLC</t>
  </si>
  <si>
    <t xml:space="preserve">INTERNATIONAL</t>
  </si>
  <si>
    <t xml:space="preserve">International MGs</t>
  </si>
  <si>
    <t xml:space="preserve">Via sales agent</t>
  </si>
  <si>
    <t xml:space="preserve">Foreign Overages</t>
  </si>
  <si>
    <t xml:space="preserve">Above MG</t>
  </si>
  <si>
    <t xml:space="preserve">Less: SA Commission</t>
  </si>
  <si>
    <t xml:space="preserve">~12% intl</t>
  </si>
  <si>
    <t xml:space="preserve">International NET</t>
  </si>
  <si>
    <t xml:space="preserve">Net intl</t>
  </si>
  <si>
    <t xml:space="preserve">STREAMING</t>
  </si>
  <si>
    <t xml:space="preserve">SVOD License Fee</t>
  </si>
  <si>
    <t xml:space="preserve">Festival acquisition</t>
  </si>
  <si>
    <t xml:space="preserve">TVOD Rental/Purchase</t>
  </si>
  <si>
    <t xml:space="preserve">Avg indie $4-8K</t>
  </si>
  <si>
    <t xml:space="preserve">AVOD / FAST</t>
  </si>
  <si>
    <t xml:space="preserve">Ad-share revenue</t>
  </si>
  <si>
    <t xml:space="preserve">TELEVISION</t>
  </si>
  <si>
    <t xml:space="preserve">Domestic TV</t>
  </si>
  <si>
    <t xml:space="preserve">Cable/PBS/Premium</t>
  </si>
  <si>
    <t xml:space="preserve">International TV</t>
  </si>
  <si>
    <t xml:space="preserve">Territory-by-territory</t>
  </si>
  <si>
    <t xml:space="preserve">ANCILLARY</t>
  </si>
  <si>
    <t xml:space="preserve">Educational/Non-Theatrical</t>
  </si>
  <si>
    <t xml:space="preserve">Universities,airlines</t>
  </si>
  <si>
    <t xml:space="preserve">Merchandise</t>
  </si>
  <si>
    <t xml:space="preserve">Music-driven only</t>
  </si>
  <si>
    <t xml:space="preserve">TAX INCENTIVE</t>
  </si>
  <si>
    <t xml:space="preserve">State Tax Credit</t>
  </si>
  <si>
    <t xml:space="preserve">Same all scenarios</t>
  </si>
  <si>
    <t xml:space="preserve">TOTAL GROSS REVENUE</t>
  </si>
  <si>
    <t xml:space="preserve">SENSITIVITY ANALYSIS</t>
  </si>
  <si>
    <t xml:space="preserve">TABLE 1 — ROI by Gross Revenue</t>
  </si>
  <si>
    <t xml:space="preserve">Equity ↓ / Revenue →</t>
  </si>
  <si>
    <t xml:space="preserve">HELPER (base equity calculations)</t>
  </si>
  <si>
    <t xml:space="preserve">Gross Revenue</t>
  </si>
  <si>
    <t xml:space="preserve">Exhibitor Take</t>
  </si>
  <si>
    <t xml:space="preserve">Film Rental</t>
  </si>
  <si>
    <t xml:space="preserve">P&amp;A</t>
  </si>
  <si>
    <t xml:space="preserve">Dist Fee</t>
  </si>
  <si>
    <t xml:space="preserve">SA Comm</t>
  </si>
  <si>
    <t xml:space="preserve">NPP</t>
  </si>
  <si>
    <t xml:space="preserve">Debt Repay</t>
  </si>
  <si>
    <t xml:space="preserve">After Debt</t>
  </si>
  <si>
    <t xml:space="preserve">TABLE 2 — Breakeven by Distribution Strategy</t>
  </si>
  <si>
    <t xml:space="preserve">Strategy</t>
  </si>
  <si>
    <t xml:space="preserve">Exhib%</t>
  </si>
  <si>
    <t xml:space="preserve">DistFee</t>
  </si>
  <si>
    <t xml:space="preserve">SA%</t>
  </si>
  <si>
    <t xml:space="preserve">Equity</t>
  </si>
  <si>
    <t xml:space="preserve">Breakeven</t>
  </si>
  <si>
    <t xml:space="preserve">SVOD-First</t>
  </si>
  <si>
    <t xml:space="preserve">Limited Theatrical</t>
  </si>
  <si>
    <t xml:space="preserve">Wide Release</t>
  </si>
  <si>
    <t xml:space="preserve">Intl Pre-Sales Only</t>
  </si>
  <si>
    <t xml:space="preserve">Hybrid/Self</t>
  </si>
  <si>
    <t xml:space="preserve">RISK REGISTER</t>
  </si>
  <si>
    <t xml:space="preserve">Risk Factor</t>
  </si>
  <si>
    <t xml:space="preserve">Category</t>
  </si>
  <si>
    <t xml:space="preserve">Probability</t>
  </si>
  <si>
    <t xml:space="preserve">Impact</t>
  </si>
  <si>
    <t xml:space="preserve">Score</t>
  </si>
  <si>
    <t xml:space="preserve">Mitigation</t>
  </si>
  <si>
    <t xml:space="preserve">Residual</t>
  </si>
  <si>
    <t xml:space="preserve">Completion Risk</t>
  </si>
  <si>
    <t xml:space="preserve">Production</t>
  </si>
  <si>
    <t xml:space="preserve">Bond+contingency+experienced producer</t>
  </si>
  <si>
    <t xml:space="preserve">Monitor burn rate</t>
  </si>
  <si>
    <t xml:space="preserve">No Distribution</t>
  </si>
  <si>
    <t xml:space="preserve">Commercial</t>
  </si>
  <si>
    <t xml:space="preserve">Sales agent pre-prod; A-list festivals</t>
  </si>
  <si>
    <t xml:space="preserve">SVOD-first fallback</t>
  </si>
  <si>
    <t xml:space="preserve">Revenue Under</t>
  </si>
  <si>
    <t xml:space="preserve">Financial</t>
  </si>
  <si>
    <t xml:space="preserve">Conservative projections; diversified windows</t>
  </si>
  <si>
    <t xml:space="preserve">Full loss possible</t>
  </si>
  <si>
    <t xml:space="preserve">SVOD Contraction</t>
  </si>
  <si>
    <t xml:space="preserve">Market</t>
  </si>
  <si>
    <t xml:space="preserve">Multi-window; don't rely on one platform</t>
  </si>
  <si>
    <t xml:space="preserve">Fallbacks modeled</t>
  </si>
  <si>
    <t xml:space="preserve">Key Person Risk</t>
  </si>
  <si>
    <t xml:space="preserve">Cast insurance; key person clauses</t>
  </si>
  <si>
    <t xml:space="preserve">Bond may cover</t>
  </si>
  <si>
    <t xml:space="preserve">Tax Credit Risk</t>
  </si>
  <si>
    <t xml:space="preserve">Qualified tax attorney; pre-approval</t>
  </si>
  <si>
    <t xml:space="preserve">Don't deploy early</t>
  </si>
  <si>
    <t xml:space="preserve">Chain of Title</t>
  </si>
  <si>
    <t xml:space="preserve">Full clearance; E&amp;O; copyright reg</t>
  </si>
  <si>
    <t xml:space="preserve">E&amp;O transfers risk</t>
  </si>
  <si>
    <t xml:space="preserve">Bridge Loan Rate</t>
  </si>
  <si>
    <t xml:space="preserve">Fixed-rate; sensitivity modeled</t>
  </si>
  <si>
    <t xml:space="preserve">Modeled at 9%</t>
  </si>
  <si>
    <t xml:space="preserve">Investor Default</t>
  </si>
  <si>
    <t xml:space="preserve">Operational</t>
  </si>
  <si>
    <t xml:space="preserve">Binding subscription; PPM disclaims</t>
  </si>
  <si>
    <t xml:space="preserve">No withdrawal</t>
  </si>
  <si>
    <t xml:space="preserve">Festival Rejection</t>
  </si>
  <si>
    <t xml:space="preserve">Direct distribution backup</t>
  </si>
  <si>
    <t xml:space="preserve">SVOD unaffected</t>
  </si>
  <si>
    <t xml:space="preserve">Music Clearance</t>
  </si>
  <si>
    <t xml:space="preserve">Pre-clear; original score; budget</t>
  </si>
  <si>
    <t xml:space="preserve">E&amp;O+supervisor</t>
  </si>
  <si>
    <t xml:space="preserve">FX Risk</t>
  </si>
  <si>
    <t xml:space="preserve">Invoice USD; CAMA in USD</t>
  </si>
  <si>
    <t xml:space="preserve">Accept residual</t>
  </si>
  <si>
    <t xml:space="preserve">Talent Controversy</t>
  </si>
  <si>
    <t xml:space="preserve">Reputational</t>
  </si>
  <si>
    <t xml:space="preserve">Morality clauses; crisis PR</t>
  </si>
  <si>
    <t xml:space="preserve">Unpredictable</t>
  </si>
  <si>
    <t xml:space="preserve">Data Loss</t>
  </si>
  <si>
    <t xml:space="preserve">Daily backup; RAID+offsite</t>
  </si>
  <si>
    <t xml:space="preserve">Low with discipline</t>
  </si>
  <si>
    <t xml:space="preserve">Score = Prob × Impact. Red ≥ 2.0 | Yellow 1.0–1.9 | Green &lt; 1.0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</si>
</sst>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%"/>
    <numFmt numFmtId="167" formatCode="#,##0"/>
    <numFmt numFmtId="168" formatCode="0.0%"/>
    <numFmt numFmtId="169" formatCode="0.00\×"/>
    <numFmt numFmtId="170" formatCode="0"/>
    <numFmt numFmtId="171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1"/>
      <color rgb="FFD4AF37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D4AF37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1A1A1C"/>
      </patternFill>
    </fill>
    <fill>
      <patternFill patternType="solid">
        <fgColor rgb="FF1A1A1C"/>
        <bgColor rgb="FF333333"/>
      </patternFill>
    </fill>
    <fill>
      <patternFill patternType="solid">
        <fgColor rgb="FFFFFFF0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8B5CF6"/>
      <rgbColor rgb="FF993366"/>
      <rgbColor rgb="FFFFFF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D4AF37"/>
      <rgbColor rgb="FFF59E0B"/>
      <rgbColor rgb="FFFF6600"/>
      <rgbColor rgb="FF666666"/>
      <rgbColor rgb="FF999999"/>
      <rgbColor rgb="FF003366"/>
      <rgbColor rgb="FF3CB371"/>
      <rgbColor rgb="FF003300"/>
      <rgbColor rgb="FF1A1A1C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F37"/>
    <pageSetUpPr fitToPage="false"/>
  </sheetPr>
  <dimension ref="B2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42"/>
  </cols>
  <sheetData>
    <row r="2" customFormat="false" ht="21.75" hidden="false" customHeight="true" outlineLevel="0" collapsed="false">
      <c r="B2" s="2" t="s">
        <v>0</v>
      </c>
      <c r="C2" s="2"/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</row>
    <row r="7" customFormat="false" ht="15" hidden="false" customHeight="true" outlineLevel="0" collapsed="false">
      <c r="B7" s="5" t="s">
        <v>4</v>
      </c>
    </row>
    <row r="8" customFormat="false" ht="15" hidden="false" customHeight="true" outlineLevel="0" collapsed="false">
      <c r="B8" s="5" t="s">
        <v>5</v>
      </c>
    </row>
    <row r="9" customFormat="false" ht="15" hidden="false" customHeight="true" outlineLevel="0" collapsed="false">
      <c r="B9" s="5" t="s">
        <v>6</v>
      </c>
    </row>
    <row r="10" customFormat="false" ht="15" hidden="false" customHeight="true" outlineLevel="0" collapsed="false">
      <c r="B10" s="5" t="s">
        <v>7</v>
      </c>
    </row>
    <row r="12" customFormat="false" ht="15" hidden="false" customHeight="true" outlineLevel="0" collapsed="false">
      <c r="B12" s="4" t="s">
        <v>8</v>
      </c>
    </row>
    <row r="13" customFormat="false" ht="15" hidden="false" customHeight="true" outlineLevel="0" collapsed="false">
      <c r="B13" s="6" t="s">
        <v>9</v>
      </c>
      <c r="C13" s="7" t="s">
        <v>10</v>
      </c>
    </row>
    <row r="14" customFormat="false" ht="15" hidden="false" customHeight="true" outlineLevel="0" collapsed="false">
      <c r="B14" s="6" t="s">
        <v>11</v>
      </c>
      <c r="C14" s="7" t="s">
        <v>12</v>
      </c>
    </row>
    <row r="15" customFormat="false" ht="15" hidden="false" customHeight="true" outlineLevel="0" collapsed="false">
      <c r="B15" s="6" t="s">
        <v>13</v>
      </c>
      <c r="C15" s="7" t="s">
        <v>14</v>
      </c>
    </row>
    <row r="16" customFormat="false" ht="15" hidden="false" customHeight="true" outlineLevel="0" collapsed="false">
      <c r="B16" s="6" t="s">
        <v>15</v>
      </c>
      <c r="C16" s="7" t="s">
        <v>16</v>
      </c>
    </row>
    <row r="17" customFormat="false" ht="15" hidden="false" customHeight="true" outlineLevel="0" collapsed="false">
      <c r="B17" s="6" t="s">
        <v>17</v>
      </c>
      <c r="C17" s="7" t="s">
        <v>18</v>
      </c>
    </row>
    <row r="18" customFormat="false" ht="15" hidden="false" customHeight="true" outlineLevel="0" collapsed="false">
      <c r="B18" s="6" t="s">
        <v>19</v>
      </c>
      <c r="C18" s="7" t="s">
        <v>20</v>
      </c>
    </row>
    <row r="19" customFormat="false" ht="15" hidden="false" customHeight="true" outlineLevel="0" collapsed="false">
      <c r="B19" s="6" t="s">
        <v>21</v>
      </c>
      <c r="C19" s="7" t="s">
        <v>22</v>
      </c>
    </row>
    <row r="21" customFormat="false" ht="15" hidden="false" customHeight="true" outlineLevel="0" collapsed="false">
      <c r="B21" s="4" t="s">
        <v>23</v>
      </c>
    </row>
    <row r="22" customFormat="false" ht="15" hidden="false" customHeight="true" outlineLevel="0" collapsed="false">
      <c r="B22" s="8" t="s">
        <v>24</v>
      </c>
    </row>
    <row r="23" customFormat="false" ht="15" hidden="false" customHeight="true" outlineLevel="0" collapsed="false">
      <c r="B23" s="9" t="s">
        <v>25</v>
      </c>
    </row>
    <row r="24" customFormat="false" ht="15" hidden="false" customHeight="true" outlineLevel="0" collapsed="false">
      <c r="B24" s="10" t="s">
        <v>26</v>
      </c>
    </row>
    <row r="26" customFormat="false" ht="15" hidden="false" customHeight="true" outlineLevel="0" collapsed="false">
      <c r="B26" s="11" t="s">
        <v>27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F37"/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40"/>
    <col collapsed="false" customWidth="true" hidden="false" outlineLevel="0" max="5" min="5" style="1" width="18"/>
  </cols>
  <sheetData>
    <row r="1" customFormat="false" ht="17.25" hidden="false" customHeight="true" outlineLevel="0" collapsed="false">
      <c r="B1" s="12" t="s">
        <v>28</v>
      </c>
      <c r="C1" s="12"/>
      <c r="D1" s="12"/>
      <c r="E1" s="12"/>
    </row>
    <row r="2" customFormat="false" ht="15" hidden="false" customHeight="true" outlineLevel="0" collapsed="false">
      <c r="B2" s="7" t="s">
        <v>29</v>
      </c>
    </row>
    <row r="3" customFormat="false" ht="15" hidden="false" customHeight="true" outlineLevel="0" collapsed="false">
      <c r="A3" s="13"/>
      <c r="B3" s="13" t="s">
        <v>30</v>
      </c>
      <c r="C3" s="13" t="s">
        <v>31</v>
      </c>
      <c r="D3" s="13" t="s">
        <v>32</v>
      </c>
      <c r="E3" s="13" t="s">
        <v>33</v>
      </c>
    </row>
    <row r="4" customFormat="false" ht="15" hidden="false" customHeight="true" outlineLevel="0" collapsed="false">
      <c r="A4" s="14"/>
      <c r="B4" s="14" t="s">
        <v>34</v>
      </c>
      <c r="C4" s="14"/>
      <c r="D4" s="14"/>
      <c r="E4" s="14"/>
    </row>
    <row r="5" customFormat="false" ht="15" hidden="false" customHeight="true" outlineLevel="0" collapsed="false">
      <c r="B5" s="15" t="s">
        <v>35</v>
      </c>
      <c r="C5" s="16" t="s">
        <v>36</v>
      </c>
      <c r="D5" s="7" t="s">
        <v>37</v>
      </c>
      <c r="E5" s="7" t="s">
        <v>38</v>
      </c>
    </row>
    <row r="6" customFormat="false" ht="15" hidden="false" customHeight="true" outlineLevel="0" collapsed="false">
      <c r="B6" s="15" t="s">
        <v>39</v>
      </c>
      <c r="C6" s="16" t="s">
        <v>40</v>
      </c>
      <c r="D6" s="7" t="s">
        <v>41</v>
      </c>
      <c r="E6" s="7" t="s">
        <v>38</v>
      </c>
    </row>
    <row r="7" customFormat="false" ht="15" hidden="false" customHeight="true" outlineLevel="0" collapsed="false">
      <c r="B7" s="15" t="s">
        <v>42</v>
      </c>
      <c r="C7" s="17" t="n">
        <v>2000000</v>
      </c>
      <c r="D7" s="7" t="s">
        <v>43</v>
      </c>
      <c r="E7" s="7" t="s">
        <v>44</v>
      </c>
    </row>
    <row r="8" customFormat="false" ht="15" hidden="false" customHeight="true" outlineLevel="0" collapsed="false">
      <c r="B8" s="15" t="s">
        <v>45</v>
      </c>
      <c r="C8" s="18" t="n">
        <v>0.2</v>
      </c>
      <c r="D8" s="7" t="s">
        <v>46</v>
      </c>
      <c r="E8" s="7" t="s">
        <v>47</v>
      </c>
    </row>
    <row r="9" customFormat="false" ht="15" hidden="false" customHeight="true" outlineLevel="0" collapsed="false">
      <c r="B9" s="15" t="s">
        <v>48</v>
      </c>
      <c r="C9" s="18" t="n">
        <v>0.9</v>
      </c>
      <c r="D9" s="7" t="s">
        <v>49</v>
      </c>
      <c r="E9" s="7" t="s">
        <v>50</v>
      </c>
    </row>
    <row r="10" customFormat="false" ht="15" hidden="false" customHeight="true" outlineLevel="0" collapsed="false">
      <c r="B10" s="15" t="s">
        <v>51</v>
      </c>
      <c r="C10" s="17" t="n">
        <v>0</v>
      </c>
      <c r="D10" s="7" t="s">
        <v>52</v>
      </c>
      <c r="E10" s="7" t="s">
        <v>53</v>
      </c>
    </row>
    <row r="11" customFormat="false" ht="15" hidden="false" customHeight="true" outlineLevel="0" collapsed="false">
      <c r="B11" s="15" t="s">
        <v>54</v>
      </c>
      <c r="C11" s="17" t="n">
        <v>0</v>
      </c>
      <c r="D11" s="7" t="s">
        <v>55</v>
      </c>
      <c r="E11" s="7" t="s">
        <v>56</v>
      </c>
    </row>
    <row r="12" customFormat="false" ht="15" hidden="false" customHeight="true" outlineLevel="0" collapsed="false">
      <c r="B12" s="15" t="s">
        <v>57</v>
      </c>
      <c r="C12" s="17" t="n">
        <v>50000</v>
      </c>
      <c r="D12" s="7" t="s">
        <v>58</v>
      </c>
      <c r="E12" s="7" t="s">
        <v>59</v>
      </c>
    </row>
    <row r="14" customFormat="false" ht="15" hidden="false" customHeight="true" outlineLevel="0" collapsed="false">
      <c r="A14" s="14"/>
      <c r="B14" s="14" t="s">
        <v>60</v>
      </c>
      <c r="C14" s="14"/>
      <c r="D14" s="14"/>
      <c r="E14" s="14"/>
    </row>
    <row r="15" customFormat="false" ht="15" hidden="false" customHeight="true" outlineLevel="0" collapsed="false">
      <c r="B15" s="15" t="s">
        <v>61</v>
      </c>
      <c r="C15" s="19" t="n">
        <f aca="false">C7*C8</f>
        <v>400000</v>
      </c>
      <c r="D15" s="7" t="s">
        <v>62</v>
      </c>
      <c r="E15" s="7" t="s">
        <v>63</v>
      </c>
    </row>
    <row r="16" customFormat="false" ht="15" hidden="false" customHeight="true" outlineLevel="0" collapsed="false">
      <c r="B16" s="15" t="s">
        <v>64</v>
      </c>
      <c r="C16" s="19" t="n">
        <f aca="false">C15*C9</f>
        <v>360000</v>
      </c>
      <c r="D16" s="7" t="s">
        <v>65</v>
      </c>
      <c r="E16" s="7" t="s">
        <v>63</v>
      </c>
    </row>
    <row r="17" customFormat="false" ht="15" hidden="false" customHeight="true" outlineLevel="0" collapsed="false">
      <c r="B17" s="20" t="s">
        <v>66</v>
      </c>
      <c r="C17" s="19" t="n">
        <f aca="false">MAX(0,C7-C16-C10-C11)</f>
        <v>1640000</v>
      </c>
      <c r="D17" s="7" t="s">
        <v>67</v>
      </c>
      <c r="E17" s="7" t="s">
        <v>63</v>
      </c>
    </row>
    <row r="18" customFormat="false" ht="15" hidden="false" customHeight="true" outlineLevel="0" collapsed="false">
      <c r="B18" s="15" t="s">
        <v>68</v>
      </c>
      <c r="C18" s="21" t="n">
        <f aca="false">IF(C12&gt;0,ROUNDUP(C17/C12,0),0)</f>
        <v>33</v>
      </c>
      <c r="D18" s="7" t="s">
        <v>69</v>
      </c>
      <c r="E18" s="7" t="s">
        <v>70</v>
      </c>
    </row>
    <row r="20" customFormat="false" ht="15" hidden="false" customHeight="true" outlineLevel="0" collapsed="false">
      <c r="A20" s="14"/>
      <c r="B20" s="14" t="s">
        <v>71</v>
      </c>
      <c r="C20" s="14"/>
      <c r="D20" s="14"/>
      <c r="E20" s="14"/>
    </row>
    <row r="21" customFormat="false" ht="15" hidden="false" customHeight="true" outlineLevel="0" collapsed="false">
      <c r="B21" s="15" t="s">
        <v>72</v>
      </c>
      <c r="C21" s="18" t="n">
        <v>0.2</v>
      </c>
      <c r="D21" s="7" t="s">
        <v>73</v>
      </c>
      <c r="E21" s="7" t="s">
        <v>74</v>
      </c>
    </row>
    <row r="22" customFormat="false" ht="15" hidden="false" customHeight="true" outlineLevel="0" collapsed="false">
      <c r="B22" s="15" t="s">
        <v>75</v>
      </c>
      <c r="C22" s="18" t="n">
        <v>0.5</v>
      </c>
      <c r="D22" s="7" t="s">
        <v>76</v>
      </c>
      <c r="E22" s="7" t="s">
        <v>77</v>
      </c>
    </row>
    <row r="23" customFormat="false" ht="15" hidden="false" customHeight="true" outlineLevel="0" collapsed="false">
      <c r="B23" s="15" t="s">
        <v>78</v>
      </c>
      <c r="C23" s="22" t="n">
        <f aca="false">1-C22</f>
        <v>0.5</v>
      </c>
      <c r="D23" s="7" t="s">
        <v>79</v>
      </c>
      <c r="E23" s="7" t="s">
        <v>63</v>
      </c>
    </row>
    <row r="24" customFormat="false" ht="15" hidden="false" customHeight="true" outlineLevel="0" collapsed="false">
      <c r="B24" s="15" t="s">
        <v>80</v>
      </c>
      <c r="C24" s="23" t="n">
        <v>0.09</v>
      </c>
      <c r="D24" s="7" t="s">
        <v>81</v>
      </c>
      <c r="E24" s="7" t="s">
        <v>82</v>
      </c>
    </row>
    <row r="25" customFormat="false" ht="15" hidden="false" customHeight="true" outlineLevel="0" collapsed="false">
      <c r="B25" s="15" t="s">
        <v>83</v>
      </c>
      <c r="C25" s="23" t="n">
        <v>0.16</v>
      </c>
      <c r="D25" s="7" t="s">
        <v>84</v>
      </c>
      <c r="E25" s="7" t="s">
        <v>85</v>
      </c>
    </row>
    <row r="26" customFormat="false" ht="15" hidden="false" customHeight="true" outlineLevel="0" collapsed="false">
      <c r="B26" s="15" t="s">
        <v>86</v>
      </c>
      <c r="C26" s="24" t="n">
        <v>18</v>
      </c>
      <c r="D26" s="7" t="s">
        <v>87</v>
      </c>
      <c r="E26" s="7" t="s">
        <v>88</v>
      </c>
    </row>
    <row r="28" customFormat="false" ht="15" hidden="false" customHeight="true" outlineLevel="0" collapsed="false">
      <c r="A28" s="14"/>
      <c r="B28" s="14" t="s">
        <v>89</v>
      </c>
      <c r="C28" s="14"/>
      <c r="D28" s="14"/>
      <c r="E28" s="14"/>
    </row>
    <row r="29" customFormat="false" ht="15" hidden="false" customHeight="true" outlineLevel="0" collapsed="false">
      <c r="B29" s="15" t="s">
        <v>90</v>
      </c>
      <c r="C29" s="18" t="n">
        <v>0.5</v>
      </c>
      <c r="D29" s="7" t="s">
        <v>91</v>
      </c>
      <c r="E29" s="7" t="s">
        <v>92</v>
      </c>
    </row>
    <row r="30" customFormat="false" ht="15" hidden="false" customHeight="true" outlineLevel="0" collapsed="false">
      <c r="B30" s="15" t="s">
        <v>93</v>
      </c>
      <c r="C30" s="17" t="n">
        <v>150000</v>
      </c>
      <c r="D30" s="7" t="s">
        <v>94</v>
      </c>
      <c r="E30" s="7" t="s">
        <v>95</v>
      </c>
    </row>
    <row r="31" customFormat="false" ht="15" hidden="false" customHeight="true" outlineLevel="0" collapsed="false">
      <c r="B31" s="15" t="s">
        <v>96</v>
      </c>
      <c r="C31" s="18" t="n">
        <v>0.3</v>
      </c>
      <c r="D31" s="7" t="s">
        <v>97</v>
      </c>
      <c r="E31" s="7" t="s">
        <v>98</v>
      </c>
    </row>
    <row r="32" customFormat="false" ht="15" hidden="false" customHeight="true" outlineLevel="0" collapsed="false">
      <c r="B32" s="15" t="s">
        <v>99</v>
      </c>
      <c r="C32" s="18" t="n">
        <v>0.12</v>
      </c>
      <c r="D32" s="7" t="s">
        <v>100</v>
      </c>
      <c r="E32" s="7" t="s">
        <v>101</v>
      </c>
    </row>
    <row r="34" customFormat="false" ht="15" hidden="false" customHeight="true" outlineLevel="0" collapsed="false">
      <c r="A34" s="14"/>
      <c r="B34" s="14" t="s">
        <v>102</v>
      </c>
      <c r="C34" s="14"/>
      <c r="D34" s="14"/>
      <c r="E34" s="14"/>
    </row>
    <row r="35" customFormat="false" ht="15" hidden="false" customHeight="true" outlineLevel="0" collapsed="false">
      <c r="B35" s="15" t="s">
        <v>103</v>
      </c>
      <c r="C35" s="16" t="s">
        <v>104</v>
      </c>
      <c r="D35" s="7"/>
      <c r="E35" s="7"/>
    </row>
    <row r="36" customFormat="false" ht="15" hidden="false" customHeight="true" outlineLevel="0" collapsed="false">
      <c r="B36" s="15" t="s">
        <v>105</v>
      </c>
      <c r="C36" s="16" t="s">
        <v>106</v>
      </c>
      <c r="D36" s="7"/>
      <c r="E36" s="7"/>
    </row>
    <row r="37" customFormat="false" ht="15" hidden="false" customHeight="true" outlineLevel="0" collapsed="false">
      <c r="B37" s="15" t="s">
        <v>107</v>
      </c>
      <c r="C37" s="16" t="s">
        <v>108</v>
      </c>
      <c r="D37" s="7"/>
      <c r="E37" s="7"/>
    </row>
    <row r="38" customFormat="false" ht="15" hidden="false" customHeight="true" outlineLevel="0" collapsed="false">
      <c r="B38" s="15" t="s">
        <v>109</v>
      </c>
      <c r="C38" s="16" t="s">
        <v>110</v>
      </c>
      <c r="D38" s="7"/>
      <c r="E38" s="7"/>
    </row>
    <row r="39" customFormat="false" ht="15" hidden="false" customHeight="true" outlineLevel="0" collapsed="false">
      <c r="B39" s="15" t="s">
        <v>111</v>
      </c>
      <c r="C39" s="16" t="s">
        <v>112</v>
      </c>
      <c r="D39" s="7"/>
      <c r="E39" s="7"/>
    </row>
    <row r="40" customFormat="false" ht="15" hidden="false" customHeight="true" outlineLevel="0" collapsed="false">
      <c r="B40" s="15" t="s">
        <v>113</v>
      </c>
      <c r="C40" s="16" t="s">
        <v>114</v>
      </c>
      <c r="D40" s="7"/>
      <c r="E40" s="7"/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30"/>
  </cols>
  <sheetData>
    <row r="1" customFormat="false" ht="17.25" hidden="false" customHeight="true" outlineLevel="0" collapsed="false">
      <c r="B1" s="12" t="s">
        <v>115</v>
      </c>
      <c r="C1" s="12"/>
      <c r="D1" s="12"/>
      <c r="E1" s="12"/>
      <c r="F1" s="12"/>
      <c r="G1" s="12"/>
    </row>
    <row r="2" customFormat="false" ht="15" hidden="false" customHeight="true" outlineLevel="0" collapsed="false">
      <c r="A2" s="13"/>
      <c r="B2" s="13" t="s">
        <v>116</v>
      </c>
      <c r="C2" s="13" t="s">
        <v>117</v>
      </c>
      <c r="D2" s="13" t="s">
        <v>118</v>
      </c>
      <c r="E2" s="13" t="s">
        <v>119</v>
      </c>
      <c r="F2" s="13" t="s">
        <v>120</v>
      </c>
      <c r="G2" s="13" t="s">
        <v>32</v>
      </c>
    </row>
    <row r="3" customFormat="false" ht="15" hidden="false" customHeight="true" outlineLevel="0" collapsed="false">
      <c r="A3" s="14"/>
      <c r="B3" s="14" t="s">
        <v>121</v>
      </c>
      <c r="C3" s="14"/>
      <c r="D3" s="14"/>
      <c r="E3" s="14"/>
      <c r="F3" s="14"/>
      <c r="G3" s="14"/>
    </row>
    <row r="4" customFormat="false" ht="15" hidden="false" customHeight="true" outlineLevel="0" collapsed="false">
      <c r="B4" s="15" t="s">
        <v>122</v>
      </c>
      <c r="C4" s="17" t="n">
        <v>40000</v>
      </c>
      <c r="D4" s="25" t="n">
        <f aca="false">C4/Assumptions!C7</f>
        <v>0.02</v>
      </c>
      <c r="E4" s="17" t="n">
        <v>40000</v>
      </c>
      <c r="F4" s="19" t="n">
        <f aca="false">C4-E4</f>
        <v>0</v>
      </c>
      <c r="G4" s="7" t="s">
        <v>123</v>
      </c>
    </row>
    <row r="5" customFormat="false" ht="15" hidden="false" customHeight="true" outlineLevel="0" collapsed="false">
      <c r="B5" s="15" t="s">
        <v>124</v>
      </c>
      <c r="C5" s="17" t="n">
        <v>25000</v>
      </c>
      <c r="D5" s="25" t="n">
        <f aca="false">C5/Assumptions!C7</f>
        <v>0.0125</v>
      </c>
      <c r="E5" s="17" t="n">
        <v>25000</v>
      </c>
      <c r="F5" s="19" t="n">
        <f aca="false">C5-E5</f>
        <v>0</v>
      </c>
      <c r="G5" s="7" t="s">
        <v>125</v>
      </c>
    </row>
    <row r="6" customFormat="false" ht="15" hidden="false" customHeight="true" outlineLevel="0" collapsed="false">
      <c r="B6" s="15" t="s">
        <v>126</v>
      </c>
      <c r="C6" s="17" t="n">
        <v>60000</v>
      </c>
      <c r="D6" s="25" t="n">
        <f aca="false">C6/Assumptions!C7</f>
        <v>0.03</v>
      </c>
      <c r="E6" s="17" t="n">
        <v>60000</v>
      </c>
      <c r="F6" s="19" t="n">
        <f aca="false">C6-E6</f>
        <v>0</v>
      </c>
      <c r="G6" s="7" t="s">
        <v>127</v>
      </c>
    </row>
    <row r="7" customFormat="false" ht="15" hidden="false" customHeight="true" outlineLevel="0" collapsed="false">
      <c r="B7" s="15" t="s">
        <v>128</v>
      </c>
      <c r="C7" s="17" t="n">
        <v>100000</v>
      </c>
      <c r="D7" s="25" t="n">
        <f aca="false">C7/Assumptions!C7</f>
        <v>0.05</v>
      </c>
      <c r="E7" s="17" t="n">
        <v>100000</v>
      </c>
      <c r="F7" s="19" t="n">
        <f aca="false">C7-E7</f>
        <v>0</v>
      </c>
      <c r="G7" s="7" t="s">
        <v>129</v>
      </c>
    </row>
    <row r="8" customFormat="false" ht="15" hidden="false" customHeight="true" outlineLevel="0" collapsed="false">
      <c r="B8" s="15" t="s">
        <v>130</v>
      </c>
      <c r="C8" s="17" t="n">
        <v>200000</v>
      </c>
      <c r="D8" s="25" t="n">
        <f aca="false">C8/Assumptions!C7</f>
        <v>0.1</v>
      </c>
      <c r="E8" s="17" t="n">
        <v>200000</v>
      </c>
      <c r="F8" s="19" t="n">
        <f aca="false">C8-E8</f>
        <v>0</v>
      </c>
      <c r="G8" s="7" t="s">
        <v>131</v>
      </c>
    </row>
    <row r="9" customFormat="false" ht="15" hidden="false" customHeight="true" outlineLevel="0" collapsed="false">
      <c r="B9" s="15" t="s">
        <v>132</v>
      </c>
      <c r="C9" s="17" t="n">
        <v>50000</v>
      </c>
      <c r="D9" s="25" t="n">
        <f aca="false">C9/Assumptions!C7</f>
        <v>0.025</v>
      </c>
      <c r="E9" s="17" t="n">
        <v>50000</v>
      </c>
      <c r="F9" s="19" t="n">
        <f aca="false">C9-E9</f>
        <v>0</v>
      </c>
      <c r="G9" s="7" t="s">
        <v>133</v>
      </c>
    </row>
    <row r="10" customFormat="false" ht="15" hidden="false" customHeight="true" outlineLevel="0" collapsed="false">
      <c r="B10" s="6" t="s">
        <v>134</v>
      </c>
      <c r="C10" s="26" t="n">
        <f aca="false">SUM(C4:C9)</f>
        <v>475000</v>
      </c>
      <c r="D10" s="25" t="n">
        <f aca="false">C10/Assumptions!C7</f>
        <v>0.2375</v>
      </c>
    </row>
    <row r="12" customFormat="false" ht="15" hidden="false" customHeight="true" outlineLevel="0" collapsed="false">
      <c r="A12" s="14"/>
      <c r="B12" s="14" t="s">
        <v>135</v>
      </c>
      <c r="C12" s="14"/>
      <c r="D12" s="14"/>
      <c r="E12" s="14"/>
      <c r="F12" s="14"/>
      <c r="G12" s="14"/>
    </row>
    <row r="13" customFormat="false" ht="15" hidden="false" customHeight="true" outlineLevel="0" collapsed="false">
      <c r="B13" s="15" t="s">
        <v>136</v>
      </c>
      <c r="C13" s="17" t="n">
        <v>35000</v>
      </c>
      <c r="D13" s="25" t="n">
        <f aca="false">C13/Assumptions!C7</f>
        <v>0.0175</v>
      </c>
      <c r="E13" s="17" t="n">
        <v>35000</v>
      </c>
      <c r="F13" s="19" t="n">
        <f aca="false">C13-E13</f>
        <v>0</v>
      </c>
      <c r="G13" s="7" t="s">
        <v>137</v>
      </c>
    </row>
    <row r="14" customFormat="false" ht="15" hidden="false" customHeight="true" outlineLevel="0" collapsed="false">
      <c r="B14" s="15" t="s">
        <v>138</v>
      </c>
      <c r="C14" s="17" t="n">
        <v>80000</v>
      </c>
      <c r="D14" s="25" t="n">
        <f aca="false">C14/Assumptions!C7</f>
        <v>0.04</v>
      </c>
      <c r="E14" s="17" t="n">
        <v>80000</v>
      </c>
      <c r="F14" s="19" t="n">
        <f aca="false">C14-E14</f>
        <v>0</v>
      </c>
      <c r="G14" s="7" t="s">
        <v>139</v>
      </c>
    </row>
    <row r="15" customFormat="false" ht="15" hidden="false" customHeight="true" outlineLevel="0" collapsed="false">
      <c r="B15" s="15" t="s">
        <v>140</v>
      </c>
      <c r="C15" s="17" t="n">
        <v>120000</v>
      </c>
      <c r="D15" s="25" t="n">
        <f aca="false">C15/Assumptions!C7</f>
        <v>0.06</v>
      </c>
      <c r="E15" s="17" t="n">
        <v>120000</v>
      </c>
      <c r="F15" s="19" t="n">
        <f aca="false">C15-E15</f>
        <v>0</v>
      </c>
      <c r="G15" s="7" t="s">
        <v>141</v>
      </c>
    </row>
    <row r="16" customFormat="false" ht="15" hidden="false" customHeight="true" outlineLevel="0" collapsed="false">
      <c r="B16" s="15" t="s">
        <v>142</v>
      </c>
      <c r="C16" s="17" t="n">
        <v>90000</v>
      </c>
      <c r="D16" s="25" t="n">
        <f aca="false">C16/Assumptions!C7</f>
        <v>0.045</v>
      </c>
      <c r="E16" s="17" t="n">
        <v>90000</v>
      </c>
      <c r="F16" s="19" t="n">
        <f aca="false">C16-E16</f>
        <v>0</v>
      </c>
      <c r="G16" s="7" t="s">
        <v>143</v>
      </c>
    </row>
    <row r="17" customFormat="false" ht="15" hidden="false" customHeight="true" outlineLevel="0" collapsed="false">
      <c r="B17" s="15" t="s">
        <v>144</v>
      </c>
      <c r="C17" s="17" t="n">
        <v>35000</v>
      </c>
      <c r="D17" s="25" t="n">
        <f aca="false">C17/Assumptions!C7</f>
        <v>0.0175</v>
      </c>
      <c r="E17" s="17" t="n">
        <v>35000</v>
      </c>
      <c r="F17" s="19" t="n">
        <f aca="false">C17-E17</f>
        <v>0</v>
      </c>
      <c r="G17" s="7" t="s">
        <v>145</v>
      </c>
    </row>
    <row r="18" customFormat="false" ht="15" hidden="false" customHeight="true" outlineLevel="0" collapsed="false">
      <c r="B18" s="15" t="s">
        <v>146</v>
      </c>
      <c r="C18" s="17" t="n">
        <v>28000</v>
      </c>
      <c r="D18" s="25" t="n">
        <f aca="false">C18/Assumptions!C7</f>
        <v>0.014</v>
      </c>
      <c r="E18" s="17" t="n">
        <v>28000</v>
      </c>
      <c r="F18" s="19" t="n">
        <f aca="false">C18-E18</f>
        <v>0</v>
      </c>
      <c r="G18" s="7" t="s">
        <v>147</v>
      </c>
    </row>
    <row r="19" customFormat="false" ht="15" hidden="false" customHeight="true" outlineLevel="0" collapsed="false">
      <c r="B19" s="15" t="s">
        <v>148</v>
      </c>
      <c r="C19" s="17" t="n">
        <v>22000</v>
      </c>
      <c r="D19" s="25" t="n">
        <f aca="false">C19/Assumptions!C7</f>
        <v>0.011</v>
      </c>
      <c r="E19" s="17" t="n">
        <v>22000</v>
      </c>
      <c r="F19" s="19" t="n">
        <f aca="false">C19-E19</f>
        <v>0</v>
      </c>
      <c r="G19" s="7" t="s">
        <v>149</v>
      </c>
    </row>
    <row r="20" customFormat="false" ht="15" hidden="false" customHeight="true" outlineLevel="0" collapsed="false">
      <c r="B20" s="15" t="s">
        <v>150</v>
      </c>
      <c r="C20" s="17" t="n">
        <v>65000</v>
      </c>
      <c r="D20" s="25" t="n">
        <f aca="false">C20/Assumptions!C7</f>
        <v>0.0325</v>
      </c>
      <c r="E20" s="17" t="n">
        <v>65000</v>
      </c>
      <c r="F20" s="19" t="n">
        <f aca="false">C20-E20</f>
        <v>0</v>
      </c>
      <c r="G20" s="7" t="s">
        <v>151</v>
      </c>
    </row>
    <row r="21" customFormat="false" ht="15" hidden="false" customHeight="true" outlineLevel="0" collapsed="false">
      <c r="B21" s="15" t="s">
        <v>152</v>
      </c>
      <c r="C21" s="17" t="n">
        <v>55000</v>
      </c>
      <c r="D21" s="25" t="n">
        <f aca="false">C21/Assumptions!C7</f>
        <v>0.0275</v>
      </c>
      <c r="E21" s="17" t="n">
        <v>55000</v>
      </c>
      <c r="F21" s="19" t="n">
        <f aca="false">C21-E21</f>
        <v>0</v>
      </c>
      <c r="G21" s="7" t="s">
        <v>153</v>
      </c>
    </row>
    <row r="22" customFormat="false" ht="15" hidden="false" customHeight="true" outlineLevel="0" collapsed="false">
      <c r="B22" s="15" t="s">
        <v>154</v>
      </c>
      <c r="C22" s="17" t="n">
        <v>40000</v>
      </c>
      <c r="D22" s="25" t="n">
        <f aca="false">C22/Assumptions!C7</f>
        <v>0.02</v>
      </c>
      <c r="E22" s="17" t="n">
        <v>40000</v>
      </c>
      <c r="F22" s="19" t="n">
        <f aca="false">C22-E22</f>
        <v>0</v>
      </c>
      <c r="G22" s="7" t="s">
        <v>155</v>
      </c>
    </row>
    <row r="23" customFormat="false" ht="15" hidden="false" customHeight="true" outlineLevel="0" collapsed="false">
      <c r="B23" s="15" t="s">
        <v>156</v>
      </c>
      <c r="C23" s="17" t="n">
        <v>18000</v>
      </c>
      <c r="D23" s="25" t="n">
        <f aca="false">C23/Assumptions!C7</f>
        <v>0.009</v>
      </c>
      <c r="E23" s="17" t="n">
        <v>18000</v>
      </c>
      <c r="F23" s="19" t="n">
        <f aca="false">C23-E23</f>
        <v>0</v>
      </c>
      <c r="G23" s="7" t="s">
        <v>157</v>
      </c>
    </row>
    <row r="24" customFormat="false" ht="15" hidden="false" customHeight="true" outlineLevel="0" collapsed="false">
      <c r="B24" s="15" t="s">
        <v>158</v>
      </c>
      <c r="C24" s="17" t="n">
        <v>15000</v>
      </c>
      <c r="D24" s="25" t="n">
        <f aca="false">C24/Assumptions!C7</f>
        <v>0.0075</v>
      </c>
      <c r="E24" s="17" t="n">
        <v>15000</v>
      </c>
      <c r="F24" s="19" t="n">
        <f aca="false">C24-E24</f>
        <v>0</v>
      </c>
      <c r="G24" s="7" t="s">
        <v>159</v>
      </c>
    </row>
    <row r="25" customFormat="false" ht="15" hidden="false" customHeight="true" outlineLevel="0" collapsed="false">
      <c r="B25" s="6" t="s">
        <v>160</v>
      </c>
      <c r="C25" s="26" t="n">
        <f aca="false">SUM(C13:C24)</f>
        <v>603000</v>
      </c>
      <c r="D25" s="25" t="n">
        <f aca="false">C25/Assumptions!C7</f>
        <v>0.3015</v>
      </c>
    </row>
    <row r="27" customFormat="false" ht="15" hidden="false" customHeight="true" outlineLevel="0" collapsed="false">
      <c r="A27" s="14"/>
      <c r="B27" s="14" t="s">
        <v>161</v>
      </c>
      <c r="C27" s="14"/>
      <c r="D27" s="14"/>
      <c r="E27" s="14"/>
      <c r="F27" s="14"/>
      <c r="G27" s="14"/>
    </row>
    <row r="28" customFormat="false" ht="15" hidden="false" customHeight="true" outlineLevel="0" collapsed="false">
      <c r="B28" s="15" t="s">
        <v>162</v>
      </c>
      <c r="C28" s="17" t="n">
        <v>75000</v>
      </c>
      <c r="D28" s="25" t="n">
        <f aca="false">C28/Assumptions!C7</f>
        <v>0.0375</v>
      </c>
      <c r="E28" s="17" t="n">
        <v>75000</v>
      </c>
      <c r="F28" s="19" t="n">
        <f aca="false">C28-E28</f>
        <v>0</v>
      </c>
      <c r="G28" s="7" t="s">
        <v>163</v>
      </c>
    </row>
    <row r="29" customFormat="false" ht="15" hidden="false" customHeight="true" outlineLevel="0" collapsed="false">
      <c r="B29" s="15" t="s">
        <v>164</v>
      </c>
      <c r="C29" s="17" t="n">
        <v>40000</v>
      </c>
      <c r="D29" s="25" t="n">
        <f aca="false">C29/Assumptions!C7</f>
        <v>0.02</v>
      </c>
      <c r="E29" s="17" t="n">
        <v>40000</v>
      </c>
      <c r="F29" s="19" t="n">
        <f aca="false">C29-E29</f>
        <v>0</v>
      </c>
      <c r="G29" s="7" t="s">
        <v>165</v>
      </c>
    </row>
    <row r="30" customFormat="false" ht="15" hidden="false" customHeight="true" outlineLevel="0" collapsed="false">
      <c r="B30" s="15" t="s">
        <v>166</v>
      </c>
      <c r="C30" s="17" t="n">
        <v>35000</v>
      </c>
      <c r="D30" s="25" t="n">
        <f aca="false">C30/Assumptions!C7</f>
        <v>0.0175</v>
      </c>
      <c r="E30" s="17" t="n">
        <v>35000</v>
      </c>
      <c r="F30" s="19" t="n">
        <f aca="false">C30-E30</f>
        <v>0</v>
      </c>
      <c r="G30" s="7" t="s">
        <v>167</v>
      </c>
    </row>
    <row r="31" customFormat="false" ht="15" hidden="false" customHeight="true" outlineLevel="0" collapsed="false">
      <c r="B31" s="15" t="s">
        <v>168</v>
      </c>
      <c r="C31" s="17" t="n">
        <v>30000</v>
      </c>
      <c r="D31" s="25" t="n">
        <f aca="false">C31/Assumptions!C7</f>
        <v>0.015</v>
      </c>
      <c r="E31" s="17" t="n">
        <v>30000</v>
      </c>
      <c r="F31" s="19" t="n">
        <f aca="false">C31-E31</f>
        <v>0</v>
      </c>
      <c r="G31" s="7" t="s">
        <v>169</v>
      </c>
    </row>
    <row r="32" customFormat="false" ht="15" hidden="false" customHeight="true" outlineLevel="0" collapsed="false">
      <c r="B32" s="15" t="s">
        <v>170</v>
      </c>
      <c r="C32" s="17" t="n">
        <v>20000</v>
      </c>
      <c r="D32" s="25" t="n">
        <f aca="false">C32/Assumptions!C7</f>
        <v>0.01</v>
      </c>
      <c r="E32" s="17" t="n">
        <v>20000</v>
      </c>
      <c r="F32" s="19" t="n">
        <f aca="false">C32-E32</f>
        <v>0</v>
      </c>
      <c r="G32" s="7" t="s">
        <v>171</v>
      </c>
    </row>
    <row r="33" customFormat="false" ht="15" hidden="false" customHeight="true" outlineLevel="0" collapsed="false">
      <c r="B33" s="15" t="s">
        <v>172</v>
      </c>
      <c r="C33" s="17" t="n">
        <v>20000</v>
      </c>
      <c r="D33" s="25" t="n">
        <f aca="false">C33/Assumptions!C7</f>
        <v>0.01</v>
      </c>
      <c r="E33" s="17" t="n">
        <v>20000</v>
      </c>
      <c r="F33" s="19" t="n">
        <f aca="false">C33-E33</f>
        <v>0</v>
      </c>
      <c r="G33" s="7" t="s">
        <v>173</v>
      </c>
    </row>
    <row r="34" customFormat="false" ht="15" hidden="false" customHeight="true" outlineLevel="0" collapsed="false">
      <c r="B34" s="15" t="s">
        <v>174</v>
      </c>
      <c r="C34" s="17" t="n">
        <v>5000</v>
      </c>
      <c r="D34" s="25" t="n">
        <f aca="false">C34/Assumptions!C7</f>
        <v>0.0025</v>
      </c>
      <c r="E34" s="17" t="n">
        <v>5000</v>
      </c>
      <c r="F34" s="19" t="n">
        <f aca="false">C34-E34</f>
        <v>0</v>
      </c>
      <c r="G34" s="7" t="s">
        <v>175</v>
      </c>
    </row>
    <row r="35" customFormat="false" ht="15" hidden="false" customHeight="true" outlineLevel="0" collapsed="false">
      <c r="B35" s="6" t="s">
        <v>176</v>
      </c>
      <c r="C35" s="26" t="n">
        <f aca="false">SUM(C28:C34)</f>
        <v>225000</v>
      </c>
      <c r="D35" s="25" t="n">
        <f aca="false">C35/Assumptions!C7</f>
        <v>0.1125</v>
      </c>
    </row>
    <row r="37" customFormat="false" ht="15" hidden="false" customHeight="true" outlineLevel="0" collapsed="false">
      <c r="A37" s="14"/>
      <c r="B37" s="14" t="s">
        <v>177</v>
      </c>
      <c r="C37" s="14"/>
      <c r="D37" s="14"/>
      <c r="E37" s="14"/>
      <c r="F37" s="14"/>
      <c r="G37" s="14"/>
    </row>
    <row r="38" customFormat="false" ht="15" hidden="false" customHeight="true" outlineLevel="0" collapsed="false">
      <c r="B38" s="15" t="s">
        <v>178</v>
      </c>
      <c r="C38" s="17" t="n">
        <v>37000</v>
      </c>
      <c r="D38" s="25" t="n">
        <f aca="false">C38/Assumptions!C7</f>
        <v>0.0185</v>
      </c>
      <c r="E38" s="17" t="n">
        <v>37000</v>
      </c>
      <c r="F38" s="19" t="n">
        <f aca="false">C38-E38</f>
        <v>0</v>
      </c>
      <c r="G38" s="7" t="s">
        <v>179</v>
      </c>
    </row>
    <row r="39" customFormat="false" ht="15" hidden="false" customHeight="true" outlineLevel="0" collapsed="false">
      <c r="B39" s="15" t="s">
        <v>180</v>
      </c>
      <c r="C39" s="17" t="n">
        <v>50000</v>
      </c>
      <c r="D39" s="25" t="n">
        <f aca="false">C39/Assumptions!C7</f>
        <v>0.025</v>
      </c>
      <c r="E39" s="17" t="n">
        <v>50000</v>
      </c>
      <c r="F39" s="19" t="n">
        <f aca="false">C39-E39</f>
        <v>0</v>
      </c>
      <c r="G39" s="7" t="s">
        <v>181</v>
      </c>
    </row>
    <row r="40" customFormat="false" ht="15" hidden="false" customHeight="true" outlineLevel="0" collapsed="false">
      <c r="B40" s="15" t="s">
        <v>182</v>
      </c>
      <c r="C40" s="17" t="n">
        <v>20000</v>
      </c>
      <c r="D40" s="25" t="n">
        <f aca="false">C40/Assumptions!C7</f>
        <v>0.01</v>
      </c>
      <c r="E40" s="17" t="n">
        <v>20000</v>
      </c>
      <c r="F40" s="19" t="n">
        <f aca="false">C40-E40</f>
        <v>0</v>
      </c>
      <c r="G40" s="7" t="s">
        <v>183</v>
      </c>
    </row>
    <row r="41" customFormat="false" ht="15" hidden="false" customHeight="true" outlineLevel="0" collapsed="false">
      <c r="B41" s="15" t="s">
        <v>184</v>
      </c>
      <c r="C41" s="17" t="n">
        <v>15000</v>
      </c>
      <c r="D41" s="25" t="n">
        <f aca="false">C41/Assumptions!C7</f>
        <v>0.0075</v>
      </c>
      <c r="E41" s="17" t="n">
        <v>15000</v>
      </c>
      <c r="F41" s="19" t="n">
        <f aca="false">C41-E41</f>
        <v>0</v>
      </c>
      <c r="G41" s="7" t="s">
        <v>185</v>
      </c>
    </row>
    <row r="42" customFormat="false" ht="15" hidden="false" customHeight="true" outlineLevel="0" collapsed="false">
      <c r="B42" s="15" t="s">
        <v>186</v>
      </c>
      <c r="C42" s="17" t="n">
        <v>10000</v>
      </c>
      <c r="D42" s="25" t="n">
        <f aca="false">C42/Assumptions!C7</f>
        <v>0.005</v>
      </c>
      <c r="E42" s="17" t="n">
        <v>10000</v>
      </c>
      <c r="F42" s="19" t="n">
        <f aca="false">C42-E42</f>
        <v>0</v>
      </c>
      <c r="G42" s="7" t="s">
        <v>187</v>
      </c>
    </row>
    <row r="43" customFormat="false" ht="15" hidden="false" customHeight="true" outlineLevel="0" collapsed="false">
      <c r="B43" s="15" t="s">
        <v>188</v>
      </c>
      <c r="C43" s="17" t="n">
        <v>20000</v>
      </c>
      <c r="D43" s="25" t="n">
        <f aca="false">C43/Assumptions!C7</f>
        <v>0.01</v>
      </c>
      <c r="E43" s="17" t="n">
        <v>20000</v>
      </c>
      <c r="F43" s="19" t="n">
        <f aca="false">C43-E43</f>
        <v>0</v>
      </c>
      <c r="G43" s="7" t="s">
        <v>189</v>
      </c>
    </row>
    <row r="44" customFormat="false" ht="15" hidden="false" customHeight="true" outlineLevel="0" collapsed="false">
      <c r="B44" s="6" t="s">
        <v>190</v>
      </c>
      <c r="C44" s="26" t="n">
        <f aca="false">SUM(C38:C43)</f>
        <v>152000</v>
      </c>
      <c r="D44" s="25" t="n">
        <f aca="false">C44/Assumptions!C7</f>
        <v>0.076</v>
      </c>
    </row>
    <row r="46" customFormat="false" ht="15" hidden="false" customHeight="true" outlineLevel="0" collapsed="false">
      <c r="B46" s="6" t="s">
        <v>191</v>
      </c>
      <c r="C46" s="26" t="n">
        <f aca="false">(C25+C35)*0.1</f>
        <v>82800</v>
      </c>
    </row>
    <row r="48" customFormat="false" ht="15" hidden="false" customHeight="true" outlineLevel="0" collapsed="false">
      <c r="B48" s="27" t="s">
        <v>192</v>
      </c>
      <c r="C48" s="28" t="n">
        <f aca="false">C10+C25+C35+C44+C46</f>
        <v>1537800</v>
      </c>
    </row>
  </sheetData>
  <mergeCells count="1">
    <mergeCell ref="B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CB371"/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34"/>
  </cols>
  <sheetData>
    <row r="1" customFormat="false" ht="17.25" hidden="false" customHeight="true" outlineLevel="0" collapsed="false">
      <c r="B1" s="12" t="s">
        <v>193</v>
      </c>
      <c r="C1" s="12"/>
      <c r="D1" s="12"/>
      <c r="E1" s="12"/>
      <c r="F1" s="12"/>
      <c r="G1" s="12"/>
    </row>
    <row r="2" customFormat="false" ht="15" hidden="false" customHeight="true" outlineLevel="0" collapsed="false">
      <c r="A2" s="13"/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32</v>
      </c>
    </row>
    <row r="3" customFormat="false" ht="15" hidden="false" customHeight="true" outlineLevel="0" collapsed="false">
      <c r="A3" s="14"/>
      <c r="B3" s="14" t="s">
        <v>199</v>
      </c>
      <c r="C3" s="14"/>
      <c r="D3" s="14"/>
      <c r="E3" s="14"/>
      <c r="F3" s="14"/>
      <c r="G3" s="14"/>
    </row>
    <row r="4" customFormat="false" ht="15" hidden="false" customHeight="true" outlineLevel="0" collapsed="false">
      <c r="B4" s="5" t="s">
        <v>200</v>
      </c>
      <c r="C4" s="29" t="n">
        <f aca="false">Assumptions!C15</f>
        <v>400000</v>
      </c>
      <c r="D4" s="25" t="n">
        <f aca="false">C4/Assumptions!C7</f>
        <v>0.2</v>
      </c>
      <c r="E4" s="7" t="s">
        <v>201</v>
      </c>
      <c r="F4" s="7" t="s">
        <v>202</v>
      </c>
      <c r="G4" s="7" t="s">
        <v>203</v>
      </c>
    </row>
    <row r="6" customFormat="false" ht="15" hidden="false" customHeight="true" outlineLevel="0" collapsed="false">
      <c r="A6" s="14"/>
      <c r="B6" s="14" t="s">
        <v>204</v>
      </c>
      <c r="C6" s="14"/>
      <c r="D6" s="14"/>
      <c r="E6" s="14"/>
      <c r="F6" s="14"/>
      <c r="G6" s="14"/>
    </row>
    <row r="7" customFormat="false" ht="15" hidden="false" customHeight="true" outlineLevel="0" collapsed="false">
      <c r="B7" s="5" t="s">
        <v>205</v>
      </c>
      <c r="C7" s="29" t="n">
        <f aca="false">Assumptions!C16</f>
        <v>360000</v>
      </c>
      <c r="D7" s="25" t="n">
        <f aca="false">C7/Assumptions!C7</f>
        <v>0.18</v>
      </c>
      <c r="E7" s="7" t="s">
        <v>206</v>
      </c>
      <c r="F7" s="30" t="n">
        <f aca="false">Assumptions!C24</f>
        <v>0.09</v>
      </c>
      <c r="G7" s="7" t="s">
        <v>207</v>
      </c>
    </row>
    <row r="9" customFormat="false" ht="15" hidden="false" customHeight="true" outlineLevel="0" collapsed="false">
      <c r="A9" s="14"/>
      <c r="B9" s="14" t="s">
        <v>208</v>
      </c>
      <c r="C9" s="14"/>
      <c r="D9" s="14"/>
      <c r="E9" s="14"/>
      <c r="F9" s="14"/>
      <c r="G9" s="14"/>
    </row>
    <row r="10" customFormat="false" ht="15" hidden="false" customHeight="true" outlineLevel="0" collapsed="false">
      <c r="B10" s="5" t="s">
        <v>209</v>
      </c>
      <c r="C10" s="29" t="n">
        <f aca="false">Assumptions!C10</f>
        <v>0</v>
      </c>
      <c r="D10" s="25" t="n">
        <f aca="false">C10/Assumptions!C7</f>
        <v>0</v>
      </c>
      <c r="E10" s="7" t="s">
        <v>210</v>
      </c>
      <c r="F10" s="30" t="n">
        <f aca="false">Assumptions!C25</f>
        <v>0.16</v>
      </c>
      <c r="G10" s="7" t="s">
        <v>211</v>
      </c>
    </row>
    <row r="12" customFormat="false" ht="15" hidden="false" customHeight="true" outlineLevel="0" collapsed="false">
      <c r="A12" s="14"/>
      <c r="B12" s="14" t="s">
        <v>212</v>
      </c>
      <c r="C12" s="14"/>
      <c r="D12" s="14"/>
      <c r="E12" s="14"/>
      <c r="F12" s="14"/>
      <c r="G12" s="14"/>
    </row>
    <row r="13" customFormat="false" ht="15" hidden="false" customHeight="true" outlineLevel="0" collapsed="false">
      <c r="B13" s="5" t="s">
        <v>213</v>
      </c>
      <c r="C13" s="29" t="n">
        <f aca="false">Assumptions!C17</f>
        <v>1640000</v>
      </c>
      <c r="D13" s="25" t="n">
        <f aca="false">C13/Assumptions!C7</f>
        <v>0.82</v>
      </c>
      <c r="E13" s="7" t="s">
        <v>214</v>
      </c>
      <c r="F13" s="7" t="s">
        <v>215</v>
      </c>
      <c r="G13" s="7" t="s">
        <v>216</v>
      </c>
    </row>
    <row r="16" customFormat="false" ht="15" hidden="false" customHeight="true" outlineLevel="0" collapsed="false">
      <c r="B16" s="31" t="s">
        <v>217</v>
      </c>
      <c r="C16" s="32" t="s">
        <v>218</v>
      </c>
    </row>
  </sheetData>
  <mergeCells count="1">
    <mergeCell ref="B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F37"/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4" min="3" style="1" width="18"/>
    <col collapsed="false" customWidth="true" hidden="false" outlineLevel="0" max="5" min="5" style="1" width="42"/>
  </cols>
  <sheetData>
    <row r="1" customFormat="false" ht="17.25" hidden="false" customHeight="true" outlineLevel="0" collapsed="false">
      <c r="B1" s="12" t="s">
        <v>219</v>
      </c>
      <c r="C1" s="12"/>
      <c r="D1" s="12"/>
      <c r="E1" s="12"/>
    </row>
    <row r="3" customFormat="false" ht="15" hidden="false" customHeight="true" outlineLevel="0" collapsed="false">
      <c r="B3" s="14" t="s">
        <v>220</v>
      </c>
      <c r="C3" s="33" t="n">
        <v>3500000</v>
      </c>
      <c r="D3" s="7" t="s">
        <v>221</v>
      </c>
    </row>
    <row r="5" customFormat="false" ht="26.25" hidden="false" customHeight="true" outlineLevel="0" collapsed="false">
      <c r="A5" s="13"/>
      <c r="B5" s="13" t="s">
        <v>222</v>
      </c>
      <c r="C5" s="13" t="s">
        <v>195</v>
      </c>
      <c r="D5" s="13" t="s">
        <v>223</v>
      </c>
      <c r="E5" s="13" t="s">
        <v>224</v>
      </c>
    </row>
    <row r="6" customFormat="false" ht="15" hidden="false" customHeight="true" outlineLevel="0" collapsed="false">
      <c r="B6" s="15" t="s">
        <v>225</v>
      </c>
      <c r="C6" s="19" t="n">
        <f aca="false">C3</f>
        <v>3500000</v>
      </c>
      <c r="D6" s="19" t="n">
        <f aca="false">C3</f>
        <v>3500000</v>
      </c>
      <c r="E6" s="7" t="s">
        <v>226</v>
      </c>
    </row>
    <row r="7" customFormat="false" ht="15" hidden="false" customHeight="true" outlineLevel="0" collapsed="false">
      <c r="B7" s="15" t="s">
        <v>227</v>
      </c>
      <c r="C7" s="19" t="n">
        <f aca="false">C3*0.5*Assumptions!C29</f>
        <v>875000</v>
      </c>
      <c r="D7" s="19" t="n">
        <f aca="false">D6-C7</f>
        <v>2625000</v>
      </c>
      <c r="E7" s="7" t="s">
        <v>228</v>
      </c>
    </row>
    <row r="8" customFormat="false" ht="15" hidden="false" customHeight="true" outlineLevel="0" collapsed="false">
      <c r="B8" s="15" t="s">
        <v>229</v>
      </c>
      <c r="C8" s="19" t="n">
        <f aca="false">D7</f>
        <v>2625000</v>
      </c>
      <c r="D8" s="19" t="n">
        <f aca="false">D7</f>
        <v>2625000</v>
      </c>
      <c r="E8" s="7" t="s">
        <v>230</v>
      </c>
    </row>
    <row r="9" customFormat="false" ht="15" hidden="false" customHeight="true" outlineLevel="0" collapsed="false">
      <c r="B9" s="15" t="s">
        <v>231</v>
      </c>
      <c r="C9" s="19" t="n">
        <f aca="false">Assumptions!C30</f>
        <v>150000</v>
      </c>
      <c r="D9" s="19" t="n">
        <f aca="false">D8-C9</f>
        <v>2475000</v>
      </c>
      <c r="E9" s="7" t="s">
        <v>232</v>
      </c>
    </row>
    <row r="10" customFormat="false" ht="15" hidden="false" customHeight="true" outlineLevel="0" collapsed="false">
      <c r="B10" s="15" t="s">
        <v>233</v>
      </c>
      <c r="C10" s="19" t="n">
        <f aca="false">MAX(0,D9)*Assumptions!C31</f>
        <v>742500</v>
      </c>
      <c r="D10" s="19" t="n">
        <f aca="false">D9-C10</f>
        <v>1732500</v>
      </c>
      <c r="E10" s="7" t="s">
        <v>97</v>
      </c>
    </row>
    <row r="11" customFormat="false" ht="15" hidden="false" customHeight="true" outlineLevel="0" collapsed="false">
      <c r="B11" s="15" t="s">
        <v>234</v>
      </c>
      <c r="C11" s="19" t="n">
        <f aca="false">C3*0.3*Assumptions!C32</f>
        <v>126000</v>
      </c>
      <c r="D11" s="19" t="n">
        <f aca="false">D10-C11</f>
        <v>1606500</v>
      </c>
      <c r="E11" s="7" t="s">
        <v>235</v>
      </c>
    </row>
    <row r="12" customFormat="false" ht="15" hidden="false" customHeight="true" outlineLevel="0" collapsed="false">
      <c r="B12" s="34" t="s">
        <v>236</v>
      </c>
      <c r="C12" s="19" t="n">
        <f aca="false">MAX(0,D11)</f>
        <v>1606500</v>
      </c>
      <c r="D12" s="19" t="n">
        <f aca="false">C12</f>
        <v>1606500</v>
      </c>
      <c r="E12" s="7" t="s">
        <v>237</v>
      </c>
    </row>
    <row r="13" customFormat="false" ht="15" hidden="false" customHeight="true" outlineLevel="0" collapsed="false">
      <c r="B13" s="15" t="s">
        <v>238</v>
      </c>
      <c r="C13" s="19" t="n">
        <f aca="false">Assumptions!C16*(1+Assumptions!C24*Assumptions!C26/12)</f>
        <v>408600</v>
      </c>
      <c r="D13" s="19" t="n">
        <f aca="false">MAX(0,D12-C13)</f>
        <v>1197900</v>
      </c>
      <c r="E13" s="7" t="s">
        <v>239</v>
      </c>
    </row>
    <row r="14" customFormat="false" ht="15" hidden="false" customHeight="true" outlineLevel="0" collapsed="false">
      <c r="B14" s="15" t="s">
        <v>240</v>
      </c>
      <c r="C14" s="19" t="n">
        <f aca="false">Assumptions!C10*(1+Assumptions!C25*Assumptions!C26/12)</f>
        <v>0</v>
      </c>
      <c r="D14" s="19" t="n">
        <f aca="false">MAX(0,D13-C14)</f>
        <v>1197900</v>
      </c>
      <c r="E14" s="7" t="s">
        <v>241</v>
      </c>
    </row>
    <row r="15" customFormat="false" ht="15" hidden="false" customHeight="true" outlineLevel="0" collapsed="false">
      <c r="B15" s="15" t="s">
        <v>242</v>
      </c>
      <c r="C15" s="19" t="n">
        <f aca="false">D14</f>
        <v>1197900</v>
      </c>
      <c r="D15" s="19" t="n">
        <f aca="false">D14</f>
        <v>1197900</v>
      </c>
      <c r="E15" s="7" t="s">
        <v>243</v>
      </c>
    </row>
    <row r="16" customFormat="false" ht="15" hidden="false" customHeight="true" outlineLevel="0" collapsed="false">
      <c r="B16" s="15" t="s">
        <v>244</v>
      </c>
      <c r="C16" s="19" t="n">
        <f aca="false">MIN(Assumptions!C17*(1+Assumptions!C21),D15)</f>
        <v>1197900</v>
      </c>
      <c r="D16" s="19" t="n">
        <f aca="false">MAX(0,D15-C16)</f>
        <v>0</v>
      </c>
      <c r="E16" s="7" t="s">
        <v>245</v>
      </c>
    </row>
    <row r="17" customFormat="false" ht="15" hidden="false" customHeight="true" outlineLevel="0" collapsed="false">
      <c r="B17" s="15" t="s">
        <v>246</v>
      </c>
      <c r="C17" s="19" t="n">
        <f aca="false">D16</f>
        <v>0</v>
      </c>
      <c r="D17" s="19" t="n">
        <f aca="false">D16</f>
        <v>0</v>
      </c>
      <c r="E17" s="7" t="s">
        <v>247</v>
      </c>
    </row>
    <row r="18" customFormat="false" ht="15" hidden="false" customHeight="true" outlineLevel="0" collapsed="false">
      <c r="B18" s="15" t="s">
        <v>248</v>
      </c>
      <c r="C18" s="19" t="n">
        <f aca="false">D17*Assumptions!C22</f>
        <v>0</v>
      </c>
      <c r="D18" s="19" t="n">
        <f aca="false">D17-C18</f>
        <v>0</v>
      </c>
      <c r="E18" s="7" t="s">
        <v>249</v>
      </c>
    </row>
    <row r="19" customFormat="false" ht="15" hidden="false" customHeight="true" outlineLevel="0" collapsed="false">
      <c r="B19" s="15" t="s">
        <v>250</v>
      </c>
      <c r="C19" s="19" t="n">
        <f aca="false">D18</f>
        <v>0</v>
      </c>
      <c r="D19" s="19" t="n">
        <f aca="false">0</f>
        <v>0</v>
      </c>
      <c r="E19" s="7" t="s">
        <v>251</v>
      </c>
    </row>
    <row r="21" customFormat="false" ht="15" hidden="false" customHeight="true" outlineLevel="0" collapsed="false">
      <c r="B21" s="4" t="s">
        <v>252</v>
      </c>
    </row>
    <row r="22" customFormat="false" ht="15" hidden="false" customHeight="true" outlineLevel="0" collapsed="false">
      <c r="B22" s="5" t="s">
        <v>253</v>
      </c>
      <c r="C22" s="29" t="n">
        <f aca="false">Assumptions!C17</f>
        <v>1640000</v>
      </c>
    </row>
    <row r="23" customFormat="false" ht="15" hidden="false" customHeight="true" outlineLevel="0" collapsed="false">
      <c r="B23" s="5" t="s">
        <v>254</v>
      </c>
      <c r="C23" s="19" t="n">
        <f aca="false">C16</f>
        <v>1197900</v>
      </c>
    </row>
    <row r="24" customFormat="false" ht="15" hidden="false" customHeight="true" outlineLevel="0" collapsed="false">
      <c r="B24" s="5" t="s">
        <v>255</v>
      </c>
      <c r="C24" s="19" t="n">
        <f aca="false">C18</f>
        <v>0</v>
      </c>
    </row>
    <row r="25" customFormat="false" ht="15" hidden="false" customHeight="true" outlineLevel="0" collapsed="false">
      <c r="B25" s="6" t="s">
        <v>256</v>
      </c>
      <c r="C25" s="26" t="n">
        <f aca="false">C23+C24</f>
        <v>1197900</v>
      </c>
    </row>
    <row r="26" customFormat="false" ht="15" hidden="false" customHeight="true" outlineLevel="0" collapsed="false">
      <c r="B26" s="5" t="s">
        <v>257</v>
      </c>
      <c r="C26" s="19" t="n">
        <f aca="false">C25-C22</f>
        <v>-442100</v>
      </c>
    </row>
    <row r="27" customFormat="false" ht="15" hidden="false" customHeight="true" outlineLevel="0" collapsed="false">
      <c r="B27" s="5" t="s">
        <v>258</v>
      </c>
      <c r="C27" s="35" t="n">
        <f aca="false">IF(C22&gt;0,C25/C22,0)</f>
        <v>0.730426829268293</v>
      </c>
    </row>
    <row r="28" customFormat="false" ht="15" hidden="false" customHeight="true" outlineLevel="0" collapsed="false">
      <c r="B28" s="5" t="s">
        <v>259</v>
      </c>
      <c r="C28" s="25" t="n">
        <f aca="false">IF(C22&gt;0,(C25-C22)/C22,0)</f>
        <v>-0.269573170731707</v>
      </c>
    </row>
    <row r="29" customFormat="false" ht="15" hidden="false" customHeight="true" outlineLevel="0" collapsed="false">
      <c r="B29" s="5" t="s">
        <v>260</v>
      </c>
      <c r="C29" s="19" t="n">
        <f aca="false">C19</f>
        <v>0</v>
      </c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5" min="3" style="1" width="16"/>
    <col collapsed="false" customWidth="true" hidden="false" outlineLevel="0" max="6" min="6" style="1" width="40"/>
  </cols>
  <sheetData>
    <row r="1" customFormat="false" ht="17.25" hidden="false" customHeight="true" outlineLevel="0" collapsed="false">
      <c r="B1" s="12" t="s">
        <v>261</v>
      </c>
      <c r="C1" s="12"/>
      <c r="D1" s="12"/>
      <c r="E1" s="12"/>
      <c r="F1" s="12"/>
    </row>
    <row r="2" customFormat="false" ht="15" hidden="false" customHeight="true" outlineLevel="0" collapsed="false">
      <c r="A2" s="13"/>
      <c r="B2" s="13" t="s">
        <v>262</v>
      </c>
      <c r="C2" s="13" t="s">
        <v>263</v>
      </c>
      <c r="D2" s="13" t="s">
        <v>264</v>
      </c>
      <c r="E2" s="13" t="s">
        <v>265</v>
      </c>
      <c r="F2" s="13" t="s">
        <v>32</v>
      </c>
    </row>
    <row r="3" customFormat="false" ht="15" hidden="false" customHeight="true" outlineLevel="0" collapsed="false">
      <c r="A3" s="14"/>
      <c r="B3" s="14" t="s">
        <v>266</v>
      </c>
      <c r="C3" s="14"/>
      <c r="D3" s="14"/>
      <c r="E3" s="14"/>
      <c r="F3" s="14"/>
    </row>
    <row r="4" customFormat="false" ht="15" hidden="false" customHeight="true" outlineLevel="0" collapsed="false">
      <c r="B4" s="15" t="s">
        <v>267</v>
      </c>
      <c r="C4" s="17" t="n">
        <v>800000</v>
      </c>
      <c r="D4" s="17" t="n">
        <v>1800000</v>
      </c>
      <c r="E4" s="17" t="n">
        <v>5000000</v>
      </c>
      <c r="F4" s="7" t="s">
        <v>268</v>
      </c>
    </row>
    <row r="5" customFormat="false" ht="15" hidden="false" customHeight="true" outlineLevel="0" collapsed="false">
      <c r="B5" s="15" t="s">
        <v>269</v>
      </c>
      <c r="C5" s="19" t="n">
        <f aca="false">-C4*Assumptions!C29</f>
        <v>-400000</v>
      </c>
      <c r="D5" s="19" t="n">
        <f aca="false">-D4*Assumptions!C29</f>
        <v>-900000</v>
      </c>
      <c r="E5" s="19" t="n">
        <f aca="false">-E4*Assumptions!C29</f>
        <v>-2500000</v>
      </c>
      <c r="F5" s="7" t="s">
        <v>270</v>
      </c>
    </row>
    <row r="6" customFormat="false" ht="15" hidden="false" customHeight="true" outlineLevel="0" collapsed="false">
      <c r="B6" s="15" t="s">
        <v>271</v>
      </c>
      <c r="C6" s="19" t="n">
        <f aca="false">-Assumptions!C30</f>
        <v>-150000</v>
      </c>
      <c r="D6" s="19" t="n">
        <f aca="false">-Assumptions!C30</f>
        <v>-150000</v>
      </c>
      <c r="E6" s="19" t="n">
        <f aca="false">-Assumptions!C30</f>
        <v>-150000</v>
      </c>
      <c r="F6" s="7" t="s">
        <v>272</v>
      </c>
    </row>
    <row r="7" customFormat="false" ht="15" hidden="false" customHeight="true" outlineLevel="0" collapsed="false">
      <c r="B7" s="15" t="s">
        <v>273</v>
      </c>
      <c r="C7" s="19" t="n">
        <f aca="false">-MAX(0,C4+C5+C6)*Assumptions!C31</f>
        <v>-75000</v>
      </c>
      <c r="D7" s="19" t="n">
        <f aca="false">-MAX(0,D4+D5+D6)*Assumptions!C31</f>
        <v>-225000</v>
      </c>
      <c r="E7" s="19" t="n">
        <f aca="false">-MAX(0,E4+E5+E6)*Assumptions!C31</f>
        <v>-705000</v>
      </c>
      <c r="F7" s="7" t="s">
        <v>274</v>
      </c>
    </row>
    <row r="8" customFormat="false" ht="15" hidden="false" customHeight="true" outlineLevel="0" collapsed="false">
      <c r="B8" s="15" t="s">
        <v>275</v>
      </c>
      <c r="C8" s="19" t="n">
        <f aca="false">SUM(C4:C7)</f>
        <v>175000</v>
      </c>
      <c r="D8" s="19" t="n">
        <f aca="false">SUM(D4:D7)</f>
        <v>525000</v>
      </c>
      <c r="E8" s="19" t="n">
        <f aca="false">SUM(E4:E7)</f>
        <v>1645000</v>
      </c>
      <c r="F8" s="7" t="s">
        <v>276</v>
      </c>
    </row>
    <row r="9" customFormat="false" ht="15" hidden="false" customHeight="true" outlineLevel="0" collapsed="false">
      <c r="A9" s="14"/>
      <c r="B9" s="14" t="s">
        <v>277</v>
      </c>
      <c r="C9" s="14"/>
      <c r="D9" s="14"/>
      <c r="E9" s="14"/>
      <c r="F9" s="14"/>
    </row>
    <row r="10" customFormat="false" ht="15" hidden="false" customHeight="true" outlineLevel="0" collapsed="false">
      <c r="B10" s="15" t="s">
        <v>278</v>
      </c>
      <c r="C10" s="17" t="n">
        <v>50000</v>
      </c>
      <c r="D10" s="17" t="n">
        <v>150000</v>
      </c>
      <c r="E10" s="17" t="n">
        <v>500000</v>
      </c>
      <c r="F10" s="7" t="s">
        <v>279</v>
      </c>
    </row>
    <row r="11" customFormat="false" ht="15" hidden="false" customHeight="true" outlineLevel="0" collapsed="false">
      <c r="B11" s="15" t="s">
        <v>280</v>
      </c>
      <c r="C11" s="17" t="n">
        <v>0</v>
      </c>
      <c r="D11" s="17" t="n">
        <v>50000</v>
      </c>
      <c r="E11" s="17" t="n">
        <v>200000</v>
      </c>
      <c r="F11" s="7" t="s">
        <v>281</v>
      </c>
    </row>
    <row r="12" customFormat="false" ht="15" hidden="false" customHeight="true" outlineLevel="0" collapsed="false">
      <c r="B12" s="15" t="s">
        <v>282</v>
      </c>
      <c r="C12" s="19" t="n">
        <f aca="false">-(C10+C11)*Assumptions!C32</f>
        <v>-6000</v>
      </c>
      <c r="D12" s="19" t="n">
        <f aca="false">-(D10+D11)*Assumptions!C32</f>
        <v>-24000</v>
      </c>
      <c r="E12" s="19" t="n">
        <f aca="false">-(E10+E11)*Assumptions!C32</f>
        <v>-84000</v>
      </c>
      <c r="F12" s="7" t="s">
        <v>283</v>
      </c>
    </row>
    <row r="13" customFormat="false" ht="15" hidden="false" customHeight="true" outlineLevel="0" collapsed="false">
      <c r="B13" s="15" t="s">
        <v>284</v>
      </c>
      <c r="C13" s="19" t="n">
        <f aca="false">SUM(C10:C12)</f>
        <v>44000</v>
      </c>
      <c r="D13" s="19" t="n">
        <f aca="false">SUM(D10:D12)</f>
        <v>176000</v>
      </c>
      <c r="E13" s="19" t="n">
        <f aca="false">SUM(E10:E12)</f>
        <v>616000</v>
      </c>
      <c r="F13" s="7" t="s">
        <v>285</v>
      </c>
    </row>
    <row r="14" customFormat="false" ht="15" hidden="false" customHeight="true" outlineLevel="0" collapsed="false">
      <c r="A14" s="14"/>
      <c r="B14" s="14" t="s">
        <v>286</v>
      </c>
      <c r="C14" s="14"/>
      <c r="D14" s="14"/>
      <c r="E14" s="14"/>
      <c r="F14" s="14"/>
    </row>
    <row r="15" customFormat="false" ht="15" hidden="false" customHeight="true" outlineLevel="0" collapsed="false">
      <c r="B15" s="15" t="s">
        <v>287</v>
      </c>
      <c r="C15" s="17" t="n">
        <v>75000</v>
      </c>
      <c r="D15" s="17" t="n">
        <v>300000</v>
      </c>
      <c r="E15" s="17" t="n">
        <v>1500000</v>
      </c>
      <c r="F15" s="7" t="s">
        <v>288</v>
      </c>
    </row>
    <row r="16" customFormat="false" ht="15" hidden="false" customHeight="true" outlineLevel="0" collapsed="false">
      <c r="B16" s="15" t="s">
        <v>289</v>
      </c>
      <c r="C16" s="17" t="n">
        <v>6000</v>
      </c>
      <c r="D16" s="17" t="n">
        <v>25000</v>
      </c>
      <c r="E16" s="17" t="n">
        <v>90000</v>
      </c>
      <c r="F16" s="7" t="s">
        <v>290</v>
      </c>
    </row>
    <row r="17" customFormat="false" ht="15" hidden="false" customHeight="true" outlineLevel="0" collapsed="false">
      <c r="B17" s="15" t="s">
        <v>291</v>
      </c>
      <c r="C17" s="17" t="n">
        <v>4000</v>
      </c>
      <c r="D17" s="17" t="n">
        <v>15000</v>
      </c>
      <c r="E17" s="17" t="n">
        <v>55000</v>
      </c>
      <c r="F17" s="7" t="s">
        <v>292</v>
      </c>
    </row>
    <row r="18" customFormat="false" ht="15" hidden="false" customHeight="true" outlineLevel="0" collapsed="false">
      <c r="A18" s="14"/>
      <c r="B18" s="14" t="s">
        <v>293</v>
      </c>
      <c r="C18" s="14"/>
      <c r="D18" s="14"/>
      <c r="E18" s="14"/>
      <c r="F18" s="14"/>
    </row>
    <row r="19" customFormat="false" ht="15" hidden="false" customHeight="true" outlineLevel="0" collapsed="false">
      <c r="B19" s="15" t="s">
        <v>294</v>
      </c>
      <c r="C19" s="17" t="n">
        <v>20000</v>
      </c>
      <c r="D19" s="17" t="n">
        <v>75000</v>
      </c>
      <c r="E19" s="17" t="n">
        <v>300000</v>
      </c>
      <c r="F19" s="7" t="s">
        <v>295</v>
      </c>
    </row>
    <row r="20" customFormat="false" ht="15" hidden="false" customHeight="true" outlineLevel="0" collapsed="false">
      <c r="B20" s="15" t="s">
        <v>296</v>
      </c>
      <c r="C20" s="17" t="n">
        <v>10000</v>
      </c>
      <c r="D20" s="17" t="n">
        <v>50000</v>
      </c>
      <c r="E20" s="17" t="n">
        <v>200000</v>
      </c>
      <c r="F20" s="7" t="s">
        <v>297</v>
      </c>
    </row>
    <row r="21" customFormat="false" ht="15" hidden="false" customHeight="true" outlineLevel="0" collapsed="false">
      <c r="A21" s="14"/>
      <c r="B21" s="14" t="s">
        <v>298</v>
      </c>
      <c r="C21" s="14"/>
      <c r="D21" s="14"/>
      <c r="E21" s="14"/>
      <c r="F21" s="14"/>
    </row>
    <row r="22" customFormat="false" ht="15" hidden="false" customHeight="true" outlineLevel="0" collapsed="false">
      <c r="B22" s="15" t="s">
        <v>299</v>
      </c>
      <c r="C22" s="17" t="n">
        <v>5000</v>
      </c>
      <c r="D22" s="17" t="n">
        <v>15000</v>
      </c>
      <c r="E22" s="17" t="n">
        <v>50000</v>
      </c>
      <c r="F22" s="7" t="s">
        <v>300</v>
      </c>
    </row>
    <row r="23" customFormat="false" ht="15" hidden="false" customHeight="true" outlineLevel="0" collapsed="false">
      <c r="B23" s="15" t="s">
        <v>301</v>
      </c>
      <c r="C23" s="17" t="n">
        <v>0</v>
      </c>
      <c r="D23" s="17" t="n">
        <v>5000</v>
      </c>
      <c r="E23" s="17" t="n">
        <v>25000</v>
      </c>
      <c r="F23" s="7" t="s">
        <v>302</v>
      </c>
    </row>
    <row r="24" customFormat="false" ht="15" hidden="false" customHeight="true" outlineLevel="0" collapsed="false">
      <c r="A24" s="14"/>
      <c r="B24" s="14" t="s">
        <v>303</v>
      </c>
      <c r="C24" s="14"/>
      <c r="D24" s="14"/>
      <c r="E24" s="14"/>
      <c r="F24" s="14"/>
    </row>
    <row r="25" customFormat="false" ht="15" hidden="false" customHeight="true" outlineLevel="0" collapsed="false">
      <c r="B25" s="15" t="s">
        <v>304</v>
      </c>
      <c r="C25" s="19" t="n">
        <f aca="false">Assumptions!C15</f>
        <v>400000</v>
      </c>
      <c r="D25" s="19" t="n">
        <f aca="false">Assumptions!C15</f>
        <v>400000</v>
      </c>
      <c r="E25" s="19" t="n">
        <f aca="false">Assumptions!C15</f>
        <v>400000</v>
      </c>
      <c r="F25" s="7" t="s">
        <v>305</v>
      </c>
    </row>
    <row r="27" customFormat="false" ht="15" hidden="false" customHeight="true" outlineLevel="0" collapsed="false">
      <c r="B27" s="31" t="s">
        <v>306</v>
      </c>
      <c r="C27" s="32" t="n">
        <f aca="false">C8+C13+C15+C16+C17+C19+C20+C22+C23+C24</f>
        <v>339000</v>
      </c>
      <c r="D27" s="32" t="n">
        <f aca="false">D8+D13+D15+D16+D17+D19+D20+D22+D23+D24</f>
        <v>1186000</v>
      </c>
      <c r="E27" s="32" t="n">
        <f aca="false">E8+E13+E15+E16+E17+E19+E20+E22+E23+E24</f>
        <v>4481000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8" min="3" style="1" width="14"/>
  </cols>
  <sheetData>
    <row r="1" customFormat="false" ht="17.25" hidden="false" customHeight="true" outlineLevel="0" collapsed="false">
      <c r="B1" s="12" t="s">
        <v>307</v>
      </c>
      <c r="C1" s="12"/>
      <c r="D1" s="12"/>
      <c r="E1" s="12"/>
      <c r="F1" s="12"/>
      <c r="G1" s="12"/>
      <c r="H1" s="12"/>
    </row>
    <row r="3" customFormat="false" ht="15" hidden="false" customHeight="true" outlineLevel="0" collapsed="false">
      <c r="B3" s="4" t="s">
        <v>308</v>
      </c>
    </row>
    <row r="4" customFormat="false" ht="15" hidden="false" customHeight="true" outlineLevel="0" collapsed="false">
      <c r="A4" s="13"/>
      <c r="B4" s="13" t="s">
        <v>309</v>
      </c>
      <c r="C4" s="36" t="n">
        <v>500000</v>
      </c>
      <c r="D4" s="36" t="n">
        <v>1000000</v>
      </c>
      <c r="E4" s="36" t="n">
        <v>1500000</v>
      </c>
      <c r="F4" s="36" t="n">
        <v>2500000</v>
      </c>
      <c r="G4" s="36" t="n">
        <v>3500000</v>
      </c>
      <c r="H4" s="36" t="n">
        <v>5000000</v>
      </c>
    </row>
    <row r="5" customFormat="false" ht="15" hidden="false" customHeight="true" outlineLevel="0" collapsed="false">
      <c r="B5" s="37" t="n">
        <v>600000</v>
      </c>
      <c r="C5" s="25" t="n">
        <f aca="false">IF(600000&gt;0,(MIN(600000*(1+Assumptions!C21),C20)+MAX(0,C20-600000*(1+Assumptions!C21))*Assumptions!C22-600000)/600000,-1)</f>
        <v>-1</v>
      </c>
      <c r="D5" s="25" t="n">
        <f aca="false">IF(600000&gt;0,(MIN(600000*(1+Assumptions!C21),D20)+MAX(0,D20-600000*(1+Assumptions!C21))*Assumptions!C22-600000)/600000,-1)</f>
        <v>-1</v>
      </c>
      <c r="E5" s="25" t="n">
        <f aca="false">IF(600000&gt;0,(MIN(600000*(1+Assumptions!C21),E20)+MAX(0,E20-600000*(1+Assumptions!C21))*Assumptions!C22-600000)/600000,-1)</f>
        <v>-0.6335</v>
      </c>
      <c r="F5" s="25" t="n">
        <f aca="false">IF(600000&gt;0,(MIN(600000*(1+Assumptions!C21),F20)+MAX(0,F20-600000*(1+Assumptions!C21))*Assumptions!C22-600000)/600000,-1)</f>
        <v>0.1815</v>
      </c>
      <c r="G5" s="25" t="n">
        <f aca="false">IF(600000&gt;0,(MIN(600000*(1+Assumptions!C21),G20)+MAX(0,G20-600000*(1+Assumptions!C21))*Assumptions!C22-600000)/600000,-1)</f>
        <v>0.59825</v>
      </c>
      <c r="H5" s="25" t="n">
        <f aca="false">IF(600000&gt;0,(MIN(600000*(1+Assumptions!C21),H20)+MAX(0,H20-600000*(1+Assumptions!C21))*Assumptions!C22-600000)/600000,-1)</f>
        <v>1.2095</v>
      </c>
    </row>
    <row r="6" customFormat="false" ht="15" hidden="false" customHeight="true" outlineLevel="0" collapsed="false">
      <c r="B6" s="37" t="n">
        <v>800000</v>
      </c>
      <c r="C6" s="25" t="n">
        <f aca="false">IF(800000&gt;0,(MIN(800000*(1+Assumptions!C21),C20)+MAX(0,C20-800000*(1+Assumptions!C21))*Assumptions!C22-800000)/800000,-1)</f>
        <v>-1</v>
      </c>
      <c r="D6" s="25" t="n">
        <f aca="false">IF(800000&gt;0,(MIN(800000*(1+Assumptions!C21),D20)+MAX(0,D20-800000*(1+Assumptions!C21))*Assumptions!C22-800000)/800000,-1)</f>
        <v>-1</v>
      </c>
      <c r="E6" s="25" t="n">
        <f aca="false">IF(800000&gt;0,(MIN(800000*(1+Assumptions!C21),E20)+MAX(0,E20-800000*(1+Assumptions!C21))*Assumptions!C22-800000)/800000,-1)</f>
        <v>-0.725125</v>
      </c>
      <c r="F6" s="25" t="n">
        <f aca="false">IF(800000&gt;0,(MIN(800000*(1+Assumptions!C21),F20)+MAX(0,F20-800000*(1+Assumptions!C21))*Assumptions!C22-800000)/800000,-1)</f>
        <v>-0.113875</v>
      </c>
      <c r="G6" s="25" t="n">
        <f aca="false">IF(800000&gt;0,(MIN(800000*(1+Assumptions!C21),G20)+MAX(0,G20-800000*(1+Assumptions!C21))*Assumptions!C22-800000)/800000,-1)</f>
        <v>0.3486875</v>
      </c>
      <c r="H6" s="25" t="n">
        <f aca="false">IF(800000&gt;0,(MIN(800000*(1+Assumptions!C21),H20)+MAX(0,H20-800000*(1+Assumptions!C21))*Assumptions!C22-800000)/800000,-1)</f>
        <v>0.807125</v>
      </c>
    </row>
    <row r="7" customFormat="false" ht="15" hidden="false" customHeight="true" outlineLevel="0" collapsed="false">
      <c r="B7" s="37" t="n">
        <v>1040000</v>
      </c>
      <c r="C7" s="25" t="n">
        <f aca="false">IF(1040000&gt;0,(MIN(1040000*(1+Assumptions!C21),C20)+MAX(0,C20-1040000*(1+Assumptions!C21))*Assumptions!C22-1040000)/1040000,-1)</f>
        <v>-1</v>
      </c>
      <c r="D7" s="25" t="n">
        <f aca="false">IF(1040000&gt;0,(MIN(1040000*(1+Assumptions!C21),D20)+MAX(0,D20-1040000*(1+Assumptions!C21))*Assumptions!C22-1040000)/1040000,-1)</f>
        <v>-1</v>
      </c>
      <c r="E7" s="25" t="n">
        <f aca="false">IF(1040000&gt;0,(MIN(1040000*(1+Assumptions!C21),E20)+MAX(0,E20-1040000*(1+Assumptions!C21))*Assumptions!C22-1040000)/1040000,-1)</f>
        <v>-0.788557692307692</v>
      </c>
      <c r="F7" s="25" t="n">
        <f aca="false">IF(1040000&gt;0,(MIN(1040000*(1+Assumptions!C21),F20)+MAX(0,F20-1040000*(1+Assumptions!C21))*Assumptions!C22-1040000)/1040000,-1)</f>
        <v>-0.318365384615385</v>
      </c>
      <c r="G7" s="25" t="n">
        <f aca="false">IF(1040000&gt;0,(MIN(1040000*(1+Assumptions!C21),G20)+MAX(0,G20-1040000*(1+Assumptions!C21))*Assumptions!C22-1040000)/1040000,-1)</f>
        <v>0.151826923076923</v>
      </c>
      <c r="H7" s="25" t="n">
        <f aca="false">IF(1040000&gt;0,(MIN(1040000*(1+Assumptions!C21),H20)+MAX(0,H20-1040000*(1+Assumptions!C21))*Assumptions!C22-1040000)/1040000,-1)</f>
        <v>0.528557692307692</v>
      </c>
    </row>
    <row r="8" customFormat="false" ht="15" hidden="false" customHeight="true" outlineLevel="0" collapsed="false">
      <c r="B8" s="37" t="n">
        <v>1200000</v>
      </c>
      <c r="C8" s="25" t="n">
        <f aca="false">IF(1200000&gt;0,(MIN(1200000*(1+Assumptions!C21),C20)+MAX(0,C20-1200000*(1+Assumptions!C21))*Assumptions!C22-1200000)/1200000,-1)</f>
        <v>-1</v>
      </c>
      <c r="D8" s="25" t="n">
        <f aca="false">IF(1200000&gt;0,(MIN(1200000*(1+Assumptions!C21),D20)+MAX(0,D20-1200000*(1+Assumptions!C21))*Assumptions!C22-1200000)/1200000,-1)</f>
        <v>-1</v>
      </c>
      <c r="E8" s="25" t="n">
        <f aca="false">IF(1200000&gt;0,(MIN(1200000*(1+Assumptions!C21),E20)+MAX(0,E20-1200000*(1+Assumptions!C21))*Assumptions!C22-1200000)/1200000,-1)</f>
        <v>-0.81675</v>
      </c>
      <c r="F8" s="25" t="n">
        <f aca="false">IF(1200000&gt;0,(MIN(1200000*(1+Assumptions!C21),F20)+MAX(0,F20-1200000*(1+Assumptions!C21))*Assumptions!C22-1200000)/1200000,-1)</f>
        <v>-0.40925</v>
      </c>
      <c r="G8" s="25" t="n">
        <f aca="false">IF(1200000&gt;0,(MIN(1200000*(1+Assumptions!C21),G20)+MAX(0,G20-1200000*(1+Assumptions!C21))*Assumptions!C22-1200000)/1200000,-1)</f>
        <v>-0.00175</v>
      </c>
      <c r="H8" s="25" t="n">
        <f aca="false">IF(1200000&gt;0,(MIN(1200000*(1+Assumptions!C21),H20)+MAX(0,H20-1200000*(1+Assumptions!C21))*Assumptions!C22-1200000)/1200000,-1)</f>
        <v>0.40475</v>
      </c>
    </row>
    <row r="9" customFormat="false" ht="15" hidden="false" customHeight="true" outlineLevel="0" collapsed="false">
      <c r="B9" s="37" t="n">
        <v>1500000</v>
      </c>
      <c r="C9" s="25" t="n">
        <f aca="false">IF(1500000&gt;0,(MIN(1500000*(1+Assumptions!C21),C20)+MAX(0,C20-1500000*(1+Assumptions!C21))*Assumptions!C22-1500000)/1500000,-1)</f>
        <v>-1</v>
      </c>
      <c r="D9" s="25" t="n">
        <f aca="false">IF(1500000&gt;0,(MIN(1500000*(1+Assumptions!C21),D20)+MAX(0,D20-1500000*(1+Assumptions!C21))*Assumptions!C22-1500000)/1500000,-1)</f>
        <v>-1</v>
      </c>
      <c r="E9" s="25" t="n">
        <f aca="false">IF(1500000&gt;0,(MIN(1500000*(1+Assumptions!C21),E20)+MAX(0,E20-1500000*(1+Assumptions!C21))*Assumptions!C22-1500000)/1500000,-1)</f>
        <v>-0.8534</v>
      </c>
      <c r="F9" s="25" t="n">
        <f aca="false">IF(1500000&gt;0,(MIN(1500000*(1+Assumptions!C21),F20)+MAX(0,F20-1500000*(1+Assumptions!C21))*Assumptions!C22-1500000)/1500000,-1)</f>
        <v>-0.5274</v>
      </c>
      <c r="G9" s="25" t="n">
        <f aca="false">IF(1500000&gt;0,(MIN(1500000*(1+Assumptions!C21),G20)+MAX(0,G20-1500000*(1+Assumptions!C21))*Assumptions!C22-1500000)/1500000,-1)</f>
        <v>-0.2014</v>
      </c>
      <c r="H9" s="25" t="n">
        <f aca="false">IF(1500000&gt;0,(MIN(1500000*(1+Assumptions!C21),H20)+MAX(0,H20-1500000*(1+Assumptions!C21))*Assumptions!C22-1500000)/1500000,-1)</f>
        <v>0.2438</v>
      </c>
    </row>
    <row r="11" customFormat="false" ht="15" hidden="false" customHeight="true" outlineLevel="0" collapsed="false">
      <c r="B11" s="7" t="s">
        <v>310</v>
      </c>
    </row>
    <row r="12" customFormat="false" ht="15" hidden="false" customHeight="true" outlineLevel="0" collapsed="false">
      <c r="B12" s="7" t="s">
        <v>311</v>
      </c>
      <c r="C12" s="38" t="n">
        <v>500000</v>
      </c>
      <c r="D12" s="38" t="n">
        <v>1000000</v>
      </c>
      <c r="E12" s="38" t="n">
        <v>1500000</v>
      </c>
      <c r="F12" s="38" t="n">
        <v>2500000</v>
      </c>
      <c r="G12" s="38" t="n">
        <v>3500000</v>
      </c>
      <c r="H12" s="38" t="n">
        <v>5000000</v>
      </c>
    </row>
    <row r="13" customFormat="false" ht="15" hidden="false" customHeight="true" outlineLevel="0" collapsed="false">
      <c r="B13" s="7" t="s">
        <v>312</v>
      </c>
      <c r="C13" s="19" t="n">
        <f aca="false">C12*0.5*Assumptions!C29</f>
        <v>125000</v>
      </c>
      <c r="D13" s="19" t="n">
        <f aca="false">D12*0.5*Assumptions!C29</f>
        <v>250000</v>
      </c>
      <c r="E13" s="19" t="n">
        <f aca="false">E12*0.5*Assumptions!C29</f>
        <v>375000</v>
      </c>
      <c r="F13" s="19" t="n">
        <f aca="false">F12*0.5*Assumptions!C29</f>
        <v>625000</v>
      </c>
      <c r="G13" s="19" t="n">
        <f aca="false">G12*0.5*Assumptions!C29</f>
        <v>875000</v>
      </c>
      <c r="H13" s="19" t="n">
        <f aca="false">H12*0.5*Assumptions!C29</f>
        <v>1250000</v>
      </c>
    </row>
    <row r="14" customFormat="false" ht="15" hidden="false" customHeight="true" outlineLevel="0" collapsed="false">
      <c r="B14" s="7" t="s">
        <v>313</v>
      </c>
      <c r="C14" s="19" t="n">
        <f aca="false">C12-C13</f>
        <v>375000</v>
      </c>
      <c r="D14" s="19" t="n">
        <f aca="false">D12-D13</f>
        <v>750000</v>
      </c>
      <c r="E14" s="19" t="n">
        <f aca="false">E12-E13</f>
        <v>1125000</v>
      </c>
      <c r="F14" s="19" t="n">
        <f aca="false">F12-F13</f>
        <v>1875000</v>
      </c>
      <c r="G14" s="19" t="n">
        <f aca="false">G12-G13</f>
        <v>2625000</v>
      </c>
      <c r="H14" s="19" t="n">
        <f aca="false">H12-H13</f>
        <v>3750000</v>
      </c>
    </row>
    <row r="15" customFormat="false" ht="15" hidden="false" customHeight="true" outlineLevel="0" collapsed="false">
      <c r="B15" s="7" t="s">
        <v>314</v>
      </c>
      <c r="C15" s="19" t="n">
        <f aca="false">Assumptions!C30</f>
        <v>150000</v>
      </c>
      <c r="D15" s="19" t="n">
        <f aca="false">Assumptions!C30</f>
        <v>150000</v>
      </c>
      <c r="E15" s="19" t="n">
        <f aca="false">Assumptions!C30</f>
        <v>150000</v>
      </c>
      <c r="F15" s="19" t="n">
        <f aca="false">Assumptions!C30</f>
        <v>150000</v>
      </c>
      <c r="G15" s="19" t="n">
        <f aca="false">Assumptions!C30</f>
        <v>150000</v>
      </c>
      <c r="H15" s="19" t="n">
        <f aca="false">Assumptions!C30</f>
        <v>150000</v>
      </c>
    </row>
    <row r="16" customFormat="false" ht="15" hidden="false" customHeight="true" outlineLevel="0" collapsed="false">
      <c r="B16" s="7" t="s">
        <v>315</v>
      </c>
      <c r="C16" s="19" t="n">
        <f aca="false">MAX(0,C14-C15)*Assumptions!C31</f>
        <v>67500</v>
      </c>
      <c r="D16" s="19" t="n">
        <f aca="false">MAX(0,D14-D15)*Assumptions!C31</f>
        <v>180000</v>
      </c>
      <c r="E16" s="19" t="n">
        <f aca="false">MAX(0,E14-E15)*Assumptions!C31</f>
        <v>292500</v>
      </c>
      <c r="F16" s="19" t="n">
        <f aca="false">MAX(0,F14-F15)*Assumptions!C31</f>
        <v>517500</v>
      </c>
      <c r="G16" s="19" t="n">
        <f aca="false">MAX(0,G14-G15)*Assumptions!C31</f>
        <v>742500</v>
      </c>
      <c r="H16" s="19" t="n">
        <f aca="false">MAX(0,H14-H15)*Assumptions!C31</f>
        <v>1080000</v>
      </c>
    </row>
    <row r="17" customFormat="false" ht="15" hidden="false" customHeight="true" outlineLevel="0" collapsed="false">
      <c r="B17" s="7" t="s">
        <v>316</v>
      </c>
      <c r="C17" s="19" t="n">
        <f aca="false">C12*0.3*Assumptions!C32</f>
        <v>18000</v>
      </c>
      <c r="D17" s="19" t="n">
        <f aca="false">D12*0.3*Assumptions!C32</f>
        <v>36000</v>
      </c>
      <c r="E17" s="19" t="n">
        <f aca="false">E12*0.3*Assumptions!C32</f>
        <v>54000</v>
      </c>
      <c r="F17" s="19" t="n">
        <f aca="false">F12*0.3*Assumptions!C32</f>
        <v>90000</v>
      </c>
      <c r="G17" s="19" t="n">
        <f aca="false">G12*0.3*Assumptions!C32</f>
        <v>126000</v>
      </c>
      <c r="H17" s="19" t="n">
        <f aca="false">H12*0.3*Assumptions!C32</f>
        <v>180000</v>
      </c>
    </row>
    <row r="18" customFormat="false" ht="15" hidden="false" customHeight="true" outlineLevel="0" collapsed="false">
      <c r="B18" s="7" t="s">
        <v>317</v>
      </c>
      <c r="C18" s="19" t="n">
        <f aca="false">MAX(0,C14-C15-C16-C17)</f>
        <v>139500</v>
      </c>
      <c r="D18" s="19" t="n">
        <f aca="false">MAX(0,D14-D15-D16-D17)</f>
        <v>384000</v>
      </c>
      <c r="E18" s="19" t="n">
        <f aca="false">MAX(0,E14-E15-E16-E17)</f>
        <v>628500</v>
      </c>
      <c r="F18" s="19" t="n">
        <f aca="false">MAX(0,F14-F15-F16-F17)</f>
        <v>1117500</v>
      </c>
      <c r="G18" s="19" t="n">
        <f aca="false">MAX(0,G14-G15-G16-G17)</f>
        <v>1606500</v>
      </c>
      <c r="H18" s="19" t="n">
        <f aca="false">MAX(0,H14-H15-H16-H17)</f>
        <v>2340000</v>
      </c>
    </row>
    <row r="19" customFormat="false" ht="15" hidden="false" customHeight="true" outlineLevel="0" collapsed="false">
      <c r="B19" s="7" t="s">
        <v>318</v>
      </c>
      <c r="C19" s="19" t="n">
        <f aca="false">Assumptions!C16*(1+Assumptions!C24*Assumptions!C26/12)</f>
        <v>408600</v>
      </c>
      <c r="D19" s="19" t="n">
        <f aca="false">Assumptions!C16*(1+Assumptions!C24*Assumptions!C26/12)</f>
        <v>408600</v>
      </c>
      <c r="E19" s="19" t="n">
        <f aca="false">Assumptions!C16*(1+Assumptions!C24*Assumptions!C26/12)</f>
        <v>408600</v>
      </c>
      <c r="F19" s="19" t="n">
        <f aca="false">Assumptions!C16*(1+Assumptions!C24*Assumptions!C26/12)</f>
        <v>408600</v>
      </c>
      <c r="G19" s="19" t="n">
        <f aca="false">Assumptions!C16*(1+Assumptions!C24*Assumptions!C26/12)</f>
        <v>408600</v>
      </c>
      <c r="H19" s="19" t="n">
        <f aca="false">Assumptions!C16*(1+Assumptions!C24*Assumptions!C26/12)</f>
        <v>408600</v>
      </c>
    </row>
    <row r="20" customFormat="false" ht="15" hidden="false" customHeight="true" outlineLevel="0" collapsed="false">
      <c r="B20" s="7" t="s">
        <v>319</v>
      </c>
      <c r="C20" s="19" t="n">
        <f aca="false">MAX(0,C18-C19)</f>
        <v>0</v>
      </c>
      <c r="D20" s="19" t="n">
        <f aca="false">MAX(0,D18-D19)</f>
        <v>0</v>
      </c>
      <c r="E20" s="19" t="n">
        <f aca="false">MAX(0,E18-E19)</f>
        <v>219900</v>
      </c>
      <c r="F20" s="19" t="n">
        <f aca="false">MAX(0,F18-F19)</f>
        <v>708900</v>
      </c>
      <c r="G20" s="19" t="n">
        <f aca="false">MAX(0,G18-G19)</f>
        <v>1197900</v>
      </c>
      <c r="H20" s="19" t="n">
        <f aca="false">MAX(0,H18-H19)</f>
        <v>1931400</v>
      </c>
    </row>
    <row r="22" customFormat="false" ht="15" hidden="false" customHeight="true" outlineLevel="0" collapsed="false">
      <c r="B22" s="4" t="s">
        <v>320</v>
      </c>
    </row>
    <row r="23" customFormat="false" ht="15" hidden="false" customHeight="true" outlineLevel="0" collapsed="false">
      <c r="A23" s="13"/>
      <c r="B23" s="13" t="s">
        <v>321</v>
      </c>
      <c r="C23" s="13" t="s">
        <v>322</v>
      </c>
      <c r="D23" s="13" t="s">
        <v>323</v>
      </c>
      <c r="E23" s="13" t="s">
        <v>314</v>
      </c>
      <c r="F23" s="13" t="s">
        <v>324</v>
      </c>
      <c r="G23" s="13" t="s">
        <v>325</v>
      </c>
      <c r="H23" s="13" t="s">
        <v>326</v>
      </c>
    </row>
    <row r="24" customFormat="false" ht="15" hidden="false" customHeight="true" outlineLevel="0" collapsed="false">
      <c r="B24" s="15" t="s">
        <v>327</v>
      </c>
      <c r="C24" s="39" t="n">
        <v>0</v>
      </c>
      <c r="D24" s="39" t="n">
        <v>0.25</v>
      </c>
      <c r="E24" s="40" t="n">
        <v>0</v>
      </c>
      <c r="F24" s="39" t="n">
        <v>0.1</v>
      </c>
      <c r="G24" s="29" t="n">
        <f aca="false">Assumptions!C17</f>
        <v>1640000</v>
      </c>
      <c r="H24" s="19" t="n">
        <f aca="false">IF((1-C24*0.5)*(1-D24)*(1-F24*0.3)&gt;0,(G24*(1+Assumptions!C21)+Assumptions!C16*(1+Assumptions!C24*Assumptions!C26/12)+E24)/((1-C24*0.5)*(1-D24)*(1-F24*0.3)),0)</f>
        <v>3266804.12371134</v>
      </c>
    </row>
    <row r="25" customFormat="false" ht="15" hidden="false" customHeight="true" outlineLevel="0" collapsed="false">
      <c r="B25" s="15" t="s">
        <v>328</v>
      </c>
      <c r="C25" s="41" t="n">
        <f aca="false">Assumptions!C29</f>
        <v>0.5</v>
      </c>
      <c r="D25" s="41" t="n">
        <f aca="false">Assumptions!C31</f>
        <v>0.3</v>
      </c>
      <c r="E25" s="29" t="n">
        <f aca="false">Assumptions!C30</f>
        <v>150000</v>
      </c>
      <c r="F25" s="41" t="n">
        <f aca="false">Assumptions!C32</f>
        <v>0.12</v>
      </c>
      <c r="G25" s="29" t="n">
        <f aca="false">Assumptions!C17</f>
        <v>1640000</v>
      </c>
      <c r="H25" s="19" t="n">
        <f aca="false">IF((1-C25*0.5)*(1-D25)*(1-F25*0.3)&gt;0,(G25*(1+Assumptions!C21)+Assumptions!C16*(1+Assumptions!C24*Assumptions!C26/12)+E25)/((1-C25*0.5)*(1-D25)*(1-F25*0.3)),0)</f>
        <v>4992294.0130409</v>
      </c>
    </row>
    <row r="26" customFormat="false" ht="15" hidden="false" customHeight="true" outlineLevel="0" collapsed="false">
      <c r="B26" s="15" t="s">
        <v>329</v>
      </c>
      <c r="C26" s="39" t="n">
        <v>0.52</v>
      </c>
      <c r="D26" s="39" t="n">
        <v>0.35</v>
      </c>
      <c r="E26" s="40" t="n">
        <v>1000000</v>
      </c>
      <c r="F26" s="39" t="n">
        <v>0.12</v>
      </c>
      <c r="G26" s="29" t="n">
        <f aca="false">Assumptions!C17</f>
        <v>1640000</v>
      </c>
      <c r="H26" s="19" t="n">
        <f aca="false">IF((1-C26*0.5)*(1-D26)*(1-F26*0.3)&gt;0,(G26*(1+Assumptions!C21)+Assumptions!C16*(1+Assumptions!C24*Assumptions!C26/12)+E26)/((1-C26*0.5)*(1-D26)*(1-F26*0.3)),0)</f>
        <v>7282114.54352533</v>
      </c>
    </row>
    <row r="27" customFormat="false" ht="15" hidden="false" customHeight="true" outlineLevel="0" collapsed="false">
      <c r="B27" s="15" t="s">
        <v>330</v>
      </c>
      <c r="C27" s="39" t="n">
        <v>0</v>
      </c>
      <c r="D27" s="39" t="n">
        <v>0.2</v>
      </c>
      <c r="E27" s="40" t="n">
        <v>50000</v>
      </c>
      <c r="F27" s="39" t="n">
        <v>0.12</v>
      </c>
      <c r="G27" s="29" t="n">
        <f aca="false">Assumptions!C17</f>
        <v>1640000</v>
      </c>
      <c r="H27" s="19" t="n">
        <f aca="false">IF((1-C27*0.5)*(1-D27)*(1-F27*0.3)&gt;0,(G27*(1+Assumptions!C21)+Assumptions!C16*(1+Assumptions!C24*Assumptions!C26/12)+E27)/((1-C27*0.5)*(1-D27)*(1-F27*0.3)),0)</f>
        <v>3146524.89626556</v>
      </c>
    </row>
    <row r="28" customFormat="false" ht="15" hidden="false" customHeight="true" outlineLevel="0" collapsed="false">
      <c r="B28" s="15" t="s">
        <v>331</v>
      </c>
      <c r="C28" s="39" t="n">
        <v>0.1</v>
      </c>
      <c r="D28" s="39" t="n">
        <v>0.15</v>
      </c>
      <c r="E28" s="40" t="n">
        <v>75000</v>
      </c>
      <c r="F28" s="39" t="n">
        <v>0.05</v>
      </c>
      <c r="G28" s="29" t="n">
        <f aca="false">Assumptions!C17</f>
        <v>1640000</v>
      </c>
      <c r="H28" s="19" t="n">
        <f aca="false">IF((1-C28*0.5)*(1-D28)*(1-F28*0.3)&gt;0,(G28*(1+Assumptions!C21)+Assumptions!C16*(1+Assumptions!C24*Assumptions!C26/12)+E28)/((1-C28*0.5)*(1-D28)*(1-F28*0.3)),0)</f>
        <v>3082271.22000283</v>
      </c>
    </row>
  </sheetData>
  <mergeCells count="1">
    <mergeCell ref="B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38"/>
    <col collapsed="false" customWidth="true" hidden="false" outlineLevel="0" max="8" min="8" style="1" width="28"/>
  </cols>
  <sheetData>
    <row r="1" customFormat="false" ht="17.25" hidden="false" customHeight="true" outlineLevel="0" collapsed="false">
      <c r="B1" s="12" t="s">
        <v>332</v>
      </c>
      <c r="C1" s="12"/>
      <c r="D1" s="12"/>
      <c r="E1" s="12"/>
      <c r="F1" s="12"/>
      <c r="G1" s="12"/>
      <c r="H1" s="12"/>
    </row>
    <row r="2" customFormat="false" ht="15" hidden="false" customHeight="true" outlineLevel="0" collapsed="false">
      <c r="A2" s="13"/>
      <c r="B2" s="13" t="s">
        <v>333</v>
      </c>
      <c r="C2" s="13" t="s">
        <v>334</v>
      </c>
      <c r="D2" s="13" t="s">
        <v>335</v>
      </c>
      <c r="E2" s="13" t="s">
        <v>336</v>
      </c>
      <c r="F2" s="13" t="s">
        <v>337</v>
      </c>
      <c r="G2" s="13" t="s">
        <v>338</v>
      </c>
      <c r="H2" s="13" t="s">
        <v>339</v>
      </c>
    </row>
    <row r="3" customFormat="false" ht="15" hidden="false" customHeight="true" outlineLevel="0" collapsed="false">
      <c r="B3" s="15" t="s">
        <v>340</v>
      </c>
      <c r="C3" s="7" t="s">
        <v>341</v>
      </c>
      <c r="D3" s="18" t="n">
        <v>0.25</v>
      </c>
      <c r="E3" s="42" t="n">
        <v>4</v>
      </c>
      <c r="F3" s="43" t="n">
        <f aca="false">D3*E3</f>
        <v>1</v>
      </c>
      <c r="G3" s="7" t="s">
        <v>342</v>
      </c>
      <c r="H3" s="7" t="s">
        <v>343</v>
      </c>
    </row>
    <row r="4" customFormat="false" ht="15" hidden="false" customHeight="true" outlineLevel="0" collapsed="false">
      <c r="B4" s="15" t="s">
        <v>344</v>
      </c>
      <c r="C4" s="7" t="s">
        <v>345</v>
      </c>
      <c r="D4" s="18" t="n">
        <v>0.4</v>
      </c>
      <c r="E4" s="42" t="n">
        <v>5</v>
      </c>
      <c r="F4" s="43" t="n">
        <f aca="false">D4*E4</f>
        <v>2</v>
      </c>
      <c r="G4" s="7" t="s">
        <v>346</v>
      </c>
      <c r="H4" s="7" t="s">
        <v>347</v>
      </c>
    </row>
    <row r="5" customFormat="false" ht="15" hidden="false" customHeight="true" outlineLevel="0" collapsed="false">
      <c r="B5" s="15" t="s">
        <v>348</v>
      </c>
      <c r="C5" s="7" t="s">
        <v>349</v>
      </c>
      <c r="D5" s="18" t="n">
        <v>0.45</v>
      </c>
      <c r="E5" s="42" t="n">
        <v>5</v>
      </c>
      <c r="F5" s="43" t="n">
        <f aca="false">D5*E5</f>
        <v>2.25</v>
      </c>
      <c r="G5" s="7" t="s">
        <v>350</v>
      </c>
      <c r="H5" s="7" t="s">
        <v>351</v>
      </c>
    </row>
    <row r="6" customFormat="false" ht="15" hidden="false" customHeight="true" outlineLevel="0" collapsed="false">
      <c r="B6" s="15" t="s">
        <v>352</v>
      </c>
      <c r="C6" s="7" t="s">
        <v>353</v>
      </c>
      <c r="D6" s="18" t="n">
        <v>0.35</v>
      </c>
      <c r="E6" s="42" t="n">
        <v>4</v>
      </c>
      <c r="F6" s="43" t="n">
        <f aca="false">D6*E6</f>
        <v>1.4</v>
      </c>
      <c r="G6" s="7" t="s">
        <v>354</v>
      </c>
      <c r="H6" s="7" t="s">
        <v>355</v>
      </c>
    </row>
    <row r="7" customFormat="false" ht="15" hidden="false" customHeight="true" outlineLevel="0" collapsed="false">
      <c r="B7" s="15" t="s">
        <v>356</v>
      </c>
      <c r="C7" s="7" t="s">
        <v>341</v>
      </c>
      <c r="D7" s="18" t="n">
        <v>0.15</v>
      </c>
      <c r="E7" s="42" t="n">
        <v>5</v>
      </c>
      <c r="F7" s="43" t="n">
        <f aca="false">D7*E7</f>
        <v>0.75</v>
      </c>
      <c r="G7" s="7" t="s">
        <v>357</v>
      </c>
      <c r="H7" s="7" t="s">
        <v>358</v>
      </c>
    </row>
    <row r="8" customFormat="false" ht="15" hidden="false" customHeight="true" outlineLevel="0" collapsed="false">
      <c r="B8" s="15" t="s">
        <v>359</v>
      </c>
      <c r="C8" s="7" t="s">
        <v>349</v>
      </c>
      <c r="D8" s="18" t="n">
        <v>0.2</v>
      </c>
      <c r="E8" s="42" t="n">
        <v>4</v>
      </c>
      <c r="F8" s="43" t="n">
        <f aca="false">D8*E8</f>
        <v>0.8</v>
      </c>
      <c r="G8" s="7" t="s">
        <v>360</v>
      </c>
      <c r="H8" s="7" t="s">
        <v>361</v>
      </c>
    </row>
    <row r="9" customFormat="false" ht="15" hidden="false" customHeight="true" outlineLevel="0" collapsed="false">
      <c r="B9" s="15" t="s">
        <v>362</v>
      </c>
      <c r="C9" s="7" t="s">
        <v>182</v>
      </c>
      <c r="D9" s="18" t="n">
        <v>0.1</v>
      </c>
      <c r="E9" s="42" t="n">
        <v>5</v>
      </c>
      <c r="F9" s="43" t="n">
        <f aca="false">D9*E9</f>
        <v>0.5</v>
      </c>
      <c r="G9" s="7" t="s">
        <v>363</v>
      </c>
      <c r="H9" s="7" t="s">
        <v>364</v>
      </c>
    </row>
    <row r="10" customFormat="false" ht="15" hidden="false" customHeight="true" outlineLevel="0" collapsed="false">
      <c r="B10" s="15" t="s">
        <v>365</v>
      </c>
      <c r="C10" s="7" t="s">
        <v>349</v>
      </c>
      <c r="D10" s="18" t="n">
        <v>0.15</v>
      </c>
      <c r="E10" s="42" t="n">
        <v>3</v>
      </c>
      <c r="F10" s="43" t="n">
        <f aca="false">D10*E10</f>
        <v>0.45</v>
      </c>
      <c r="G10" s="7" t="s">
        <v>366</v>
      </c>
      <c r="H10" s="7" t="s">
        <v>367</v>
      </c>
    </row>
    <row r="11" customFormat="false" ht="15" hidden="false" customHeight="true" outlineLevel="0" collapsed="false">
      <c r="B11" s="15" t="s">
        <v>368</v>
      </c>
      <c r="C11" s="7" t="s">
        <v>369</v>
      </c>
      <c r="D11" s="18" t="n">
        <v>0.1</v>
      </c>
      <c r="E11" s="42" t="n">
        <v>4</v>
      </c>
      <c r="F11" s="43" t="n">
        <f aca="false">D11*E11</f>
        <v>0.4</v>
      </c>
      <c r="G11" s="7" t="s">
        <v>370</v>
      </c>
      <c r="H11" s="7" t="s">
        <v>371</v>
      </c>
    </row>
    <row r="12" customFormat="false" ht="15" hidden="false" customHeight="true" outlineLevel="0" collapsed="false">
      <c r="B12" s="15" t="s">
        <v>372</v>
      </c>
      <c r="C12" s="7" t="s">
        <v>345</v>
      </c>
      <c r="D12" s="18" t="n">
        <v>0.4</v>
      </c>
      <c r="E12" s="42" t="n">
        <v>3</v>
      </c>
      <c r="F12" s="43" t="n">
        <f aca="false">D12*E12</f>
        <v>1.2</v>
      </c>
      <c r="G12" s="7" t="s">
        <v>373</v>
      </c>
      <c r="H12" s="7" t="s">
        <v>374</v>
      </c>
    </row>
    <row r="13" customFormat="false" ht="15" hidden="false" customHeight="true" outlineLevel="0" collapsed="false">
      <c r="B13" s="15" t="s">
        <v>375</v>
      </c>
      <c r="C13" s="7" t="s">
        <v>182</v>
      </c>
      <c r="D13" s="18" t="n">
        <v>0.2</v>
      </c>
      <c r="E13" s="42" t="n">
        <v>3</v>
      </c>
      <c r="F13" s="43" t="n">
        <f aca="false">D13*E13</f>
        <v>0.6</v>
      </c>
      <c r="G13" s="7" t="s">
        <v>376</v>
      </c>
      <c r="H13" s="7" t="s">
        <v>377</v>
      </c>
    </row>
    <row r="14" customFormat="false" ht="15" hidden="false" customHeight="true" outlineLevel="0" collapsed="false">
      <c r="B14" s="15" t="s">
        <v>378</v>
      </c>
      <c r="C14" s="7" t="s">
        <v>349</v>
      </c>
      <c r="D14" s="18" t="n">
        <v>0.25</v>
      </c>
      <c r="E14" s="42" t="n">
        <v>3</v>
      </c>
      <c r="F14" s="43" t="n">
        <f aca="false">D14*E14</f>
        <v>0.75</v>
      </c>
      <c r="G14" s="7" t="s">
        <v>379</v>
      </c>
      <c r="H14" s="7" t="s">
        <v>380</v>
      </c>
    </row>
    <row r="15" customFormat="false" ht="15" hidden="false" customHeight="true" outlineLevel="0" collapsed="false">
      <c r="B15" s="15" t="s">
        <v>381</v>
      </c>
      <c r="C15" s="7" t="s">
        <v>382</v>
      </c>
      <c r="D15" s="18" t="n">
        <v>0.1</v>
      </c>
      <c r="E15" s="42" t="n">
        <v>4</v>
      </c>
      <c r="F15" s="43" t="n">
        <f aca="false">D15*E15</f>
        <v>0.4</v>
      </c>
      <c r="G15" s="7" t="s">
        <v>383</v>
      </c>
      <c r="H15" s="7" t="s">
        <v>384</v>
      </c>
    </row>
    <row r="16" customFormat="false" ht="15" hidden="false" customHeight="true" outlineLevel="0" collapsed="false">
      <c r="B16" s="15" t="s">
        <v>385</v>
      </c>
      <c r="C16" s="7" t="s">
        <v>369</v>
      </c>
      <c r="D16" s="18" t="n">
        <v>0.1</v>
      </c>
      <c r="E16" s="42" t="n">
        <v>3</v>
      </c>
      <c r="F16" s="43" t="n">
        <f aca="false">D16*E16</f>
        <v>0.3</v>
      </c>
      <c r="G16" s="7" t="s">
        <v>386</v>
      </c>
      <c r="H16" s="7" t="s">
        <v>387</v>
      </c>
    </row>
    <row r="18" customFormat="false" ht="15" hidden="false" customHeight="true" outlineLevel="0" collapsed="false">
      <c r="B18" s="7" t="s">
        <v>388</v>
      </c>
    </row>
  </sheetData>
  <mergeCells count="1">
    <mergeCell ref="B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2026-03-31T04:05:01Z</dcterms:created>
  <dc:creator>openpyxl</dc:creator>
  <dc:description/>
  <dc:language>en-US</dc:language>
  <cp:lastModifiedBy/>
  <dcterms:modified xsi:type="dcterms:W3CDTF">2026-03-31T04:06:17Z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