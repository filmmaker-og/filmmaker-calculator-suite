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ver" sheetId="1" state="visible" r:id="rId1"/>
    <sheet xmlns:r="http://schemas.openxmlformats.org/officeDocument/2006/relationships" name="2_Assumptions" sheetId="2" state="visible" r:id="rId2"/>
    <sheet xmlns:r="http://schemas.openxmlformats.org/officeDocument/2006/relationships" name="3_Budget" sheetId="3" state="visible" r:id="rId3"/>
    <sheet xmlns:r="http://schemas.openxmlformats.org/officeDocument/2006/relationships" name="4_Capital_Stack" sheetId="4" state="visible" r:id="rId4"/>
    <sheet xmlns:r="http://schemas.openxmlformats.org/officeDocument/2006/relationships" name="5_Waterfall" sheetId="5" state="visible" r:id="rId5"/>
    <sheet xmlns:r="http://schemas.openxmlformats.org/officeDocument/2006/relationships" name="6_Revenue_Model" sheetId="6" state="visible" r:id="rId6"/>
    <sheet xmlns:r="http://schemas.openxmlformats.org/officeDocument/2006/relationships" name="7_Cash_Flow" sheetId="7" state="visible" r:id="rId7"/>
    <sheet xmlns:r="http://schemas.openxmlformats.org/officeDocument/2006/relationships" name="8_Sensitivity" sheetId="8" state="visible" r:id="rId8"/>
    <sheet xmlns:r="http://schemas.openxmlformats.org/officeDocument/2006/relationships" name="9_Risk_Regis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;($#,##0);&quot;-&quot;"/>
    <numFmt numFmtId="166" formatCode="0.0%"/>
    <numFmt numFmtId="167" formatCode="0.0x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color rgb="00008000"/>
      <sz val="10"/>
    </font>
    <font>
      <name val="Calibri"/>
      <b val="1"/>
      <color rgb="000000FF"/>
      <sz val="10"/>
    </font>
    <font>
      <name val="Calibri"/>
      <b val="1"/>
      <color rgb="000000FF"/>
      <sz val="10"/>
      <u val="single"/>
    </font>
    <font>
      <name val="Calibri"/>
      <color rgb="00000000"/>
      <sz val="10"/>
    </font>
    <font>
      <name val="Calibri"/>
      <b val="1"/>
      <color rgb="00008000"/>
      <sz val="10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b val="1"/>
      <color rgb="00375623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8F5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17375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B84"/>
      </patternFill>
    </fill>
    <fill>
      <patternFill patternType="solid">
        <fgColor rgb="00F869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49" fontId="5" fillId="5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indent="1"/>
    </xf>
    <xf numFmtId="164" fontId="6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indent="1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top" wrapText="1" inden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 indent="2"/>
    </xf>
    <xf numFmtId="166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center" vertical="center"/>
    </xf>
    <xf numFmtId="164" fontId="9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164" fontId="6" fillId="6" borderId="1" applyAlignment="1" pivotButton="0" quotePrefix="0" xfId="0">
      <alignment horizontal="left" vertical="center" indent="1"/>
    </xf>
    <xf numFmtId="164" fontId="6" fillId="4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166" fontId="6" fillId="6" borderId="1" applyAlignment="1" pivotButton="0" quotePrefix="0" xfId="0">
      <alignment horizontal="left" vertical="center" indent="1"/>
    </xf>
    <xf numFmtId="166" fontId="6" fillId="4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164" fontId="5" fillId="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indent="1"/>
    </xf>
    <xf numFmtId="167" fontId="4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top" wrapText="1" indent="1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top" wrapText="1" indent="1"/>
    </xf>
    <xf numFmtId="0" fontId="9" fillId="6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top" wrapText="1" indent="1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'3_Budget'!$B$49:$B$53</f>
            </numRef>
          </cat>
          <val>
            <numRef>
              <f>'3_Budget'!$C$49:$C$53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Scenario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'6_Revenue_Model'!$B$33:$B$35</f>
            </numRef>
          </cat>
          <val>
            <numRef>
              <f>'6_Revenue_Model'!$C$33:$C$35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48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 ht="44" customHeight="1">
      <c r="B2" s="1" t="inlineStr">
        <is>
          <t>INDIE FILM FINANCE PLAN</t>
        </is>
      </c>
    </row>
    <row r="3" ht="22" customHeight="1">
      <c r="B3" s="2" t="inlineStr">
        <is>
          <t>$2,000,000 Production Budget  |  $1,040,000 Equity Raise  |  Single-Film LLC  |  [PROJECT TITLE]</t>
        </is>
      </c>
    </row>
    <row r="5" ht="20" customHeight="1">
      <c r="B5" s="3" t="inlineStr">
        <is>
          <t xml:space="preserve">  PROJECT SNAPSHOT  —  Edit yellow/blue cells to customize</t>
        </is>
      </c>
    </row>
    <row r="6" ht="16" customHeight="1">
      <c r="B6" s="4" t="inlineStr">
        <is>
          <t>Film Title</t>
        </is>
      </c>
      <c r="C6" s="5" t="inlineStr">
        <is>
          <t>[PROJECT TITLE]</t>
        </is>
      </c>
    </row>
    <row r="7" ht="16" customHeight="1">
      <c r="B7" s="4" t="inlineStr">
        <is>
          <t>Genre</t>
        </is>
      </c>
      <c r="C7" s="6" t="inlineStr">
        <is>
          <t>[e.g. Thriller / Drama / Horror]</t>
        </is>
      </c>
    </row>
    <row r="8" ht="16" customHeight="1">
      <c r="B8" s="4" t="inlineStr">
        <is>
          <t>Director</t>
        </is>
      </c>
      <c r="C8" s="6" t="inlineStr">
        <is>
          <t>[DIRECTOR NAME]</t>
        </is>
      </c>
    </row>
    <row r="9" ht="16" customHeight="1">
      <c r="B9" s="4" t="inlineStr">
        <is>
          <t>Producer</t>
        </is>
      </c>
      <c r="C9" s="6" t="inlineStr">
        <is>
          <t>[PRODUCER NAME]</t>
        </is>
      </c>
    </row>
    <row r="10" ht="16" customHeight="1">
      <c r="B10" s="4" t="inlineStr">
        <is>
          <t>Key Cast</t>
        </is>
      </c>
      <c r="C10" s="6" t="inlineStr">
        <is>
          <t>[LEAD ACTOR / TBD]</t>
        </is>
      </c>
    </row>
    <row r="11" ht="16" customHeight="1">
      <c r="B11" s="4" t="inlineStr">
        <is>
          <t>Sales Agent</t>
        </is>
      </c>
      <c r="C11" s="6" t="inlineStr">
        <is>
          <t>[TBD]</t>
        </is>
      </c>
    </row>
    <row r="12" ht="16" customHeight="1">
      <c r="B12" s="4" t="inlineStr">
        <is>
          <t>Shoot State</t>
        </is>
      </c>
      <c r="C12" s="6" t="inlineStr">
        <is>
          <t>[STATE — drives tax credit %]</t>
        </is>
      </c>
    </row>
    <row r="13" ht="16" customHeight="1">
      <c r="B13" s="4" t="inlineStr">
        <is>
          <t>Schedule</t>
        </is>
      </c>
      <c r="C13" s="6" t="inlineStr">
        <is>
          <t>30-Day Principal Photography, Digital 4K</t>
        </is>
      </c>
    </row>
    <row r="14" ht="16" customHeight="1">
      <c r="B14" s="4" t="inlineStr">
        <is>
          <t>Festival Target</t>
        </is>
      </c>
      <c r="C14" s="6" t="inlineStr">
        <is>
          <t>Sundance / SXSW / Tribeca</t>
        </is>
      </c>
    </row>
    <row r="15" ht="16" customHeight="1">
      <c r="B15" s="4" t="inlineStr">
        <is>
          <t>Production Start</t>
        </is>
      </c>
      <c r="C15" s="6" t="inlineStr">
        <is>
          <t>Q3 2026</t>
        </is>
      </c>
    </row>
    <row r="16" ht="16" customHeight="1">
      <c r="B16" s="4" t="inlineStr">
        <is>
          <t>Delivery</t>
        </is>
      </c>
      <c r="C16" s="6" t="inlineStr">
        <is>
          <t>Q1 2027</t>
        </is>
      </c>
    </row>
    <row r="17" ht="16" customHeight="1">
      <c r="B17" s="4" t="inlineStr">
        <is>
          <t>Rating</t>
        </is>
      </c>
      <c r="C17" s="6" t="inlineStr">
        <is>
          <t>R / PG-13</t>
        </is>
      </c>
    </row>
    <row r="18" ht="8" customHeight="1"/>
    <row r="19" ht="20" customHeight="1">
      <c r="B19" s="7" t="inlineStr">
        <is>
          <t xml:space="preserve">  FINANCING SUMMARY  (Auto-calculates from Assumptions)</t>
        </is>
      </c>
    </row>
    <row r="20" ht="16" customHeight="1">
      <c r="B20" s="8" t="inlineStr">
        <is>
          <t>Total Budget</t>
        </is>
      </c>
      <c r="C20" s="9">
        <f>'2_Assumptions'!C7</f>
        <v/>
      </c>
    </row>
    <row r="21" ht="16" customHeight="1">
      <c r="B21" s="10" t="inlineStr">
        <is>
          <t>Equity Being Raised</t>
        </is>
      </c>
      <c r="C21" s="11">
        <f>'2_Assumptions'!C12</f>
        <v/>
      </c>
    </row>
    <row r="22" ht="16" customHeight="1">
      <c r="B22" s="10" t="inlineStr">
        <is>
          <t>Tax Credit (Rebate)</t>
        </is>
      </c>
      <c r="C22" s="11">
        <f>'2_Assumptions'!C8</f>
        <v/>
      </c>
    </row>
    <row r="23" ht="16" customHeight="1">
      <c r="B23" s="10" t="inlineStr">
        <is>
          <t>Senior Debt</t>
        </is>
      </c>
      <c r="C23" s="11">
        <f>'2_Assumptions'!C9</f>
        <v/>
      </c>
    </row>
    <row r="24" ht="16" customHeight="1">
      <c r="B24" s="10" t="inlineStr">
        <is>
          <t>Gap / Mezz</t>
        </is>
      </c>
      <c r="C24" s="12">
        <f>'2_Assumptions'!C10</f>
        <v/>
      </c>
    </row>
    <row r="25" ht="16" customHeight="1">
      <c r="B25" s="4" t="inlineStr">
        <is>
          <t>Min. Investment / Investor</t>
        </is>
      </c>
      <c r="C25" s="13">
        <f>'2_Assumptions'!C14</f>
        <v/>
      </c>
    </row>
    <row r="26" ht="16" customHeight="1">
      <c r="B26" s="10" t="inlineStr">
        <is>
          <t>Recoupment Premium</t>
        </is>
      </c>
      <c r="C26" s="14">
        <f>'2_Assumptions'!C17</f>
        <v/>
      </c>
    </row>
    <row r="27" ht="16" customHeight="1">
      <c r="B27" s="4" t="inlineStr">
        <is>
          <t>Investor Backend</t>
        </is>
      </c>
      <c r="C27" s="15">
        <f>'2_Assumptions'!C18</f>
        <v/>
      </c>
    </row>
    <row r="28" ht="16" customHeight="1">
      <c r="B28" s="10" t="inlineStr">
        <is>
          <t>Raise Close</t>
        </is>
      </c>
      <c r="C28" s="16">
        <f>'2_Assumptions'!C32</f>
        <v/>
      </c>
    </row>
    <row r="29" ht="16" customHeight="1">
      <c r="B29" s="10" t="inlineStr">
        <is>
          <t>Legal Vehicle</t>
        </is>
      </c>
      <c r="C29" s="16">
        <f>'2_Assumptions'!C33</f>
        <v/>
      </c>
    </row>
    <row r="30" ht="8" customHeight="1"/>
    <row r="31" ht="20" customHeight="1">
      <c r="B31" s="17" t="inlineStr">
        <is>
          <t xml:space="preserve">  SHEET NAVIGATOR</t>
        </is>
      </c>
    </row>
    <row r="32" ht="16" customHeight="1">
      <c r="B32" s="18" t="inlineStr">
        <is>
          <t>2_Assumptions</t>
        </is>
      </c>
      <c r="C32" s="19" t="inlineStr">
        <is>
          <t>Master inputs — start here to customize for your project</t>
        </is>
      </c>
    </row>
    <row r="33" ht="16" customHeight="1">
      <c r="B33" s="20" t="inlineStr">
        <is>
          <t>3_Budget</t>
        </is>
      </c>
      <c r="C33" s="21" t="inlineStr">
        <is>
          <t>Full production budget by department: ATL, BTL, Post, G&amp;A, contingency</t>
        </is>
      </c>
    </row>
    <row r="34" ht="16" customHeight="1">
      <c r="B34" s="18" t="inlineStr">
        <is>
          <t>4_Capital_Stack</t>
        </is>
      </c>
      <c r="C34" s="19" t="inlineStr">
        <is>
          <t>All financing sources, risk positions, and investor terms at a glance</t>
        </is>
      </c>
    </row>
    <row r="35" ht="16" customHeight="1">
      <c r="B35" s="20" t="inlineStr">
        <is>
          <t>5_Waterfall</t>
        </is>
      </c>
      <c r="C35" s="21" t="inlineStr">
        <is>
          <t>Revenue waterfall — complete investor return calculator</t>
        </is>
      </c>
    </row>
    <row r="36" ht="16" customHeight="1">
      <c r="B36" s="18" t="inlineStr">
        <is>
          <t>6_Revenue_Model</t>
        </is>
      </c>
      <c r="C36" s="19" t="inlineStr">
        <is>
          <t>Distribution window revenue: Conservative / Base / Upside scenarios</t>
        </is>
      </c>
    </row>
    <row r="37" ht="16" customHeight="1">
      <c r="B37" s="20" t="inlineStr">
        <is>
          <t>7_Cash_Flow</t>
        </is>
      </c>
      <c r="C37" s="21" t="inlineStr">
        <is>
          <t>Monthly cash flow: capital deployment and distribution proceeds timeline</t>
        </is>
      </c>
    </row>
    <row r="38" ht="16" customHeight="1">
      <c r="B38" s="18" t="inlineStr">
        <is>
          <t>8_Sensitivity</t>
        </is>
      </c>
      <c r="C38" s="19" t="inlineStr">
        <is>
          <t>ROI / MOIC / IRR sensitivity matrices</t>
        </is>
      </c>
    </row>
    <row r="39" ht="16" customHeight="1">
      <c r="B39" s="20" t="inlineStr">
        <is>
          <t>9_Risk_Register</t>
        </is>
      </c>
      <c r="C39" s="21" t="inlineStr">
        <is>
          <t>Risk factors, probability, impact, and mitigation strategies</t>
        </is>
      </c>
    </row>
    <row r="41" ht="16" customHeight="1">
      <c r="B41" s="17" t="inlineStr">
        <is>
          <t xml:space="preserve">  COLOR LEGEND</t>
        </is>
      </c>
    </row>
    <row r="42" ht="16" customHeight="1">
      <c r="B42" s="22" t="inlineStr">
        <is>
          <t>Blue = Input</t>
        </is>
      </c>
      <c r="C42" s="23" t="inlineStr">
        <is>
          <t>Change to customize</t>
        </is>
      </c>
    </row>
    <row r="43" ht="16" customHeight="1">
      <c r="B43" s="24" t="inlineStr">
        <is>
          <t>Black = Formula</t>
        </is>
      </c>
      <c r="C43" s="23" t="inlineStr">
        <is>
          <t>Do not edit</t>
        </is>
      </c>
    </row>
    <row r="44" ht="16" customHeight="1">
      <c r="B44" s="25" t="inlineStr">
        <is>
          <t>Green = Cross-Sheet Link</t>
        </is>
      </c>
      <c r="C44" s="23" t="inlineStr">
        <is>
          <t>Pulls from another tab</t>
        </is>
      </c>
    </row>
    <row r="45" ht="16" customHeight="1">
      <c r="B45" s="26" t="inlineStr">
        <is>
          <t>Yellow Background</t>
        </is>
      </c>
      <c r="C45" s="23" t="inlineStr">
        <is>
          <t>Key assumption to review</t>
        </is>
      </c>
    </row>
    <row r="47" ht="28" customHeight="1">
      <c r="B47" s="27" t="inlineStr">
        <is>
          <t>Disclaimer: Illustrative examples only. Not an offer of securities. Consult entertainment attorneys before raising capital.  Generated: March 2026</t>
        </is>
      </c>
    </row>
  </sheetData>
  <mergeCells count="41">
    <mergeCell ref="C36:I36"/>
    <mergeCell ref="C23:I23"/>
    <mergeCell ref="C17:I17"/>
    <mergeCell ref="C39:I39"/>
    <mergeCell ref="C8:I8"/>
    <mergeCell ref="B47:I47"/>
    <mergeCell ref="B3:I3"/>
    <mergeCell ref="C32:I32"/>
    <mergeCell ref="C7:I7"/>
    <mergeCell ref="C38:I38"/>
    <mergeCell ref="B31:I31"/>
    <mergeCell ref="C37:I37"/>
    <mergeCell ref="C28:I28"/>
    <mergeCell ref="C13:I13"/>
    <mergeCell ref="B2:I2"/>
    <mergeCell ref="C34:I34"/>
    <mergeCell ref="C6:I6"/>
    <mergeCell ref="C24:I24"/>
    <mergeCell ref="C42:I42"/>
    <mergeCell ref="C15:I15"/>
    <mergeCell ref="C33:I33"/>
    <mergeCell ref="C14:I14"/>
    <mergeCell ref="C45:I45"/>
    <mergeCell ref="C26:I26"/>
    <mergeCell ref="C35:I35"/>
    <mergeCell ref="C20:I20"/>
    <mergeCell ref="B19:I19"/>
    <mergeCell ref="C29:I29"/>
    <mergeCell ref="C10:I10"/>
    <mergeCell ref="C16:I16"/>
    <mergeCell ref="C25:I25"/>
    <mergeCell ref="C44:I44"/>
    <mergeCell ref="C22:I22"/>
    <mergeCell ref="C9:I9"/>
    <mergeCell ref="C21:I21"/>
    <mergeCell ref="C43:I43"/>
    <mergeCell ref="C12:I12"/>
    <mergeCell ref="B5:I5"/>
    <mergeCell ref="B41:I41"/>
    <mergeCell ref="C11:I11"/>
    <mergeCell ref="C27:I27"/>
  </mergeCells>
  <hyperlinks>
    <hyperlink ref="B32" location="'2_Assumptions'!A1"/>
    <hyperlink ref="B33" location="'3_Budget'!A1"/>
    <hyperlink ref="B34" location="'4_Capital_Stack'!A1"/>
    <hyperlink ref="B35" location="'5_Waterfall'!A1"/>
    <hyperlink ref="B36" location="'6_Revenue_Model'!A1"/>
    <hyperlink ref="B37" location="'7_Cash_Flow'!A1"/>
    <hyperlink ref="B38" location="'8_Sensitivity'!A1"/>
    <hyperlink ref="B39" location="'9_Risk_Register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0" customWidth="1" min="3" max="3"/>
    <col width="40" customWidth="1" min="4" max="4"/>
    <col width="30" customWidth="1" min="5" max="5"/>
  </cols>
  <sheetData>
    <row r="2" ht="20" customHeight="1">
      <c r="B2" s="3" t="inlineStr">
        <is>
          <t xml:space="preserve">  MASTER ASSUMPTIONS  —  Change blue cells; all other sheets update automatically</t>
        </is>
      </c>
    </row>
    <row r="3" ht="18" customHeight="1">
      <c r="B3" s="28" t="inlineStr">
        <is>
          <t>Assumption</t>
        </is>
      </c>
      <c r="C3" s="29" t="inlineStr">
        <is>
          <t>Value</t>
        </is>
      </c>
      <c r="D3" s="29" t="inlineStr">
        <is>
          <t>Notes</t>
        </is>
      </c>
      <c r="E3" s="29" t="inlineStr">
        <is>
          <t>Benchmark</t>
        </is>
      </c>
    </row>
    <row r="4" ht="16" customHeight="1">
      <c r="B4" s="17" t="inlineStr">
        <is>
          <t xml:space="preserve">  A. PROJECT &amp; BUDGET</t>
        </is>
      </c>
    </row>
    <row r="5" ht="16" customHeight="1">
      <c r="B5" s="21" t="inlineStr">
        <is>
          <t>Project Title</t>
        </is>
      </c>
      <c r="C5" s="30" t="inlineStr">
        <is>
          <t>[PROJECT TITLE]</t>
        </is>
      </c>
      <c r="D5" s="31" t="inlineStr">
        <is>
          <t>Your film title as it appears in legal docs</t>
        </is>
      </c>
      <c r="E5" s="32" t="inlineStr">
        <is>
          <t>—</t>
        </is>
      </c>
    </row>
    <row r="6" ht="16" customHeight="1">
      <c r="B6" s="33" t="inlineStr">
        <is>
          <t>Genre</t>
        </is>
      </c>
      <c r="C6" s="30" t="inlineStr">
        <is>
          <t>[e.g. Thriller]</t>
        </is>
      </c>
      <c r="D6" s="31" t="inlineStr">
        <is>
          <t>Drives comparable film selection</t>
        </is>
      </c>
      <c r="E6" s="32" t="inlineStr">
        <is>
          <t>—</t>
        </is>
      </c>
    </row>
    <row r="7" ht="16" customHeight="1">
      <c r="B7" s="21" t="inlineStr">
        <is>
          <t>Total Production Budget ($)</t>
        </is>
      </c>
      <c r="C7" s="34" t="n">
        <v>2000000</v>
      </c>
      <c r="D7" s="31" t="inlineStr">
        <is>
          <t>All-in: ATL + BTL + Post + G&amp;A + Bond + Contingency</t>
        </is>
      </c>
      <c r="E7" s="32" t="inlineStr">
        <is>
          <t>$500K–$10M</t>
        </is>
      </c>
    </row>
    <row r="8" ht="16" customHeight="1">
      <c r="B8" s="33" t="inlineStr">
        <is>
          <t>State Tax Credit / Rebate ($)</t>
        </is>
      </c>
      <c r="C8" s="34" t="n">
        <v>400000</v>
      </c>
      <c r="D8" s="31" t="inlineStr">
        <is>
          <t>~20-35% qualifying in-state spend; received post-wrap</t>
        </is>
      </c>
      <c r="E8" s="32" t="inlineStr">
        <is>
          <t>20-45% of budget</t>
        </is>
      </c>
    </row>
    <row r="9" ht="16" customHeight="1">
      <c r="B9" s="21" t="inlineStr">
        <is>
          <t>Senior Debt – Tax Credit Loan ($)</t>
        </is>
      </c>
      <c r="C9" s="34" t="n">
        <v>360000</v>
      </c>
      <c r="D9" s="31" t="inlineStr">
        <is>
          <t>90% advance on tax credit; first-position lien on credit proceeds</t>
        </is>
      </c>
      <c r="E9" s="32" t="inlineStr">
        <is>
          <t>90% × credit</t>
        </is>
      </c>
    </row>
    <row r="10" ht="16" customHeight="1">
      <c r="B10" s="33" t="inlineStr">
        <is>
          <t>Gap / Mezz Financing ($)</t>
        </is>
      </c>
      <c r="C10" s="35" t="n">
        <v>0</v>
      </c>
      <c r="D10" s="31" t="inlineStr">
        <is>
          <t>Second-position; use only if needed to close gap; avoid at $750K</t>
        </is>
      </c>
      <c r="E10" s="32" t="inlineStr">
        <is>
          <t>0-15% of budget</t>
        </is>
      </c>
    </row>
    <row r="11" ht="16" customHeight="1">
      <c r="B11" s="21" t="inlineStr">
        <is>
          <t>Pre-Sale Loan ($)</t>
        </is>
      </c>
      <c r="C11" s="35" t="n">
        <v>0</v>
      </c>
      <c r="D11" s="31" t="inlineStr">
        <is>
          <t>Against executed MG contracts; viable at $2M+ with sales agent</t>
        </is>
      </c>
      <c r="E11" s="32" t="inlineStr">
        <is>
          <t>0-20% at $2M+</t>
        </is>
      </c>
    </row>
    <row r="12" ht="16" customHeight="1">
      <c r="B12" s="33" t="inlineStr">
        <is>
          <t>TOTAL EQUITY RAISE ($)</t>
        </is>
      </c>
      <c r="C12" s="36">
        <f>C7-C9-C10-C11-C8</f>
        <v/>
      </c>
      <c r="D12" s="31" t="inlineStr">
        <is>
          <t>Budget minus all debt/soft money = equity needed from investors</t>
        </is>
      </c>
      <c r="E12" s="32" t="inlineStr">
        <is>
          <t>Auto</t>
        </is>
      </c>
    </row>
    <row r="13" ht="16" customHeight="1">
      <c r="B13" s="21" t="inlineStr">
        <is>
          <t>Est. # of Investors</t>
        </is>
      </c>
      <c r="C13" s="37" t="n">
        <v>10</v>
      </c>
      <c r="D13" s="31" t="inlineStr">
        <is>
          <t>Divide equity / min. investment for rough count</t>
        </is>
      </c>
      <c r="E13" s="32" t="inlineStr">
        <is>
          <t>5-30 typical</t>
        </is>
      </c>
    </row>
    <row r="14" ht="16" customHeight="1">
      <c r="B14" s="33" t="inlineStr">
        <is>
          <t>Min. Investment Per Investor ($)</t>
        </is>
      </c>
      <c r="C14" s="34" t="n">
        <v>50000</v>
      </c>
      <c r="D14" s="31" t="inlineStr">
        <is>
          <t>Reg D 506(b) accredited investor minimum</t>
        </is>
      </c>
      <c r="E14" s="32" t="inlineStr">
        <is>
          <t>$25K-$100K</t>
        </is>
      </c>
    </row>
    <row r="16" ht="16" customHeight="1">
      <c r="B16" s="17" t="inlineStr">
        <is>
          <t xml:space="preserve">  B. INVESTOR TERMS &amp; WATERFALL</t>
        </is>
      </c>
    </row>
    <row r="17" ht="16" customHeight="1">
      <c r="B17" s="21" t="inlineStr">
        <is>
          <t>Investor Recoupment Premium (%)</t>
        </is>
      </c>
      <c r="C17" s="38" t="n">
        <v>0.2</v>
      </c>
      <c r="D17" s="31" t="inlineStr">
        <is>
          <t>% above principal before backend; typ. 15-25%</t>
        </is>
      </c>
      <c r="E17" s="32" t="inlineStr">
        <is>
          <t>15%-25%</t>
        </is>
      </c>
    </row>
    <row r="18" ht="16" customHeight="1">
      <c r="B18" s="33" t="inlineStr">
        <is>
          <t>Backend Split — Investor Pool (%)</t>
        </is>
      </c>
      <c r="C18" s="38" t="n">
        <v>0.5</v>
      </c>
      <c r="D18" s="31" t="inlineStr">
        <is>
          <t>% of net profit after hurdle; other 50% to producer</t>
        </is>
      </c>
      <c r="E18" s="32" t="inlineStr">
        <is>
          <t>40%-50%</t>
        </is>
      </c>
    </row>
    <row r="19" ht="16" customHeight="1">
      <c r="B19" s="21" t="inlineStr">
        <is>
          <t>Backend Split — Producer (%)</t>
        </is>
      </c>
      <c r="C19" s="39">
        <f>1-C18</f>
        <v/>
      </c>
      <c r="D19" s="31" t="inlineStr">
        <is>
          <t>Auto-calculated from investor split</t>
        </is>
      </c>
      <c r="E19" s="32" t="inlineStr">
        <is>
          <t>Auto</t>
        </is>
      </c>
    </row>
    <row r="20" ht="16" customHeight="1">
      <c r="B20" s="33" t="inlineStr">
        <is>
          <t>Senior Debt Interest Rate</t>
        </is>
      </c>
      <c r="C20" s="38" t="n">
        <v>0.09</v>
      </c>
      <c r="D20" s="31" t="inlineStr">
        <is>
          <t>Tax credit bridge; 8-12% typical</t>
        </is>
      </c>
      <c r="E20" s="32" t="inlineStr">
        <is>
          <t>8%-12%</t>
        </is>
      </c>
    </row>
    <row r="21" ht="16" customHeight="1">
      <c r="B21" s="21" t="inlineStr">
        <is>
          <t>Gap Loan Interest Rate</t>
        </is>
      </c>
      <c r="C21" s="38" t="n">
        <v>0.16</v>
      </c>
      <c r="D21" s="31" t="inlineStr">
        <is>
          <t>Higher risk; 12-20% for gap lenders</t>
        </is>
      </c>
      <c r="E21" s="32" t="inlineStr">
        <is>
          <t>12%-20%</t>
        </is>
      </c>
    </row>
    <row r="22" ht="16" customHeight="1">
      <c r="B22" s="33" t="inlineStr">
        <is>
          <t>Loan Term (months)</t>
        </is>
      </c>
      <c r="C22" s="37" t="n">
        <v>18</v>
      </c>
      <c r="D22" s="31" t="inlineStr">
        <is>
          <t>Bridge to distribution receipt; affects IRR</t>
        </is>
      </c>
      <c r="E22" s="32" t="inlineStr">
        <is>
          <t>12-36 months</t>
        </is>
      </c>
    </row>
    <row r="24" ht="16" customHeight="1">
      <c r="B24" s="17" t="inlineStr">
        <is>
          <t xml:space="preserve">  C. DISTRIBUTION ASSUMPTIONS  (used in Waterfall &amp; Revenue Model)</t>
        </is>
      </c>
    </row>
    <row r="25" ht="16" customHeight="1">
      <c r="B25" s="21" t="inlineStr">
        <is>
          <t>Distribution Strategy</t>
        </is>
      </c>
      <c r="C25" s="40" t="inlineStr">
        <is>
          <t>Limited Theatrical + SVOD</t>
        </is>
      </c>
      <c r="D25" s="31" t="inlineStr">
        <is>
          <t>Drives P&amp;A and distributor fee structure</t>
        </is>
      </c>
      <c r="E25" s="32" t="inlineStr">
        <is>
          <t>—</t>
        </is>
      </c>
    </row>
    <row r="26" ht="16" customHeight="1">
      <c r="B26" s="33" t="inlineStr">
        <is>
          <t>Exhibitor / Theater Split (%)</t>
        </is>
      </c>
      <c r="C26" s="38" t="n">
        <v>0.5</v>
      </c>
      <c r="D26" s="31" t="inlineStr">
        <is>
          <t>Theaters retain ~50-55% of theatrical gross</t>
        </is>
      </c>
      <c r="E26" s="32" t="inlineStr">
        <is>
          <t>45%-55%</t>
        </is>
      </c>
    </row>
    <row r="27" ht="16" customHeight="1">
      <c r="B27" s="21" t="inlineStr">
        <is>
          <t>P&amp;A / Marketing Budget ($)</t>
        </is>
      </c>
      <c r="C27" s="34" t="n">
        <v>150000</v>
      </c>
      <c r="D27" s="31" t="inlineStr">
        <is>
          <t>Recouped before any commissions</t>
        </is>
      </c>
      <c r="E27" s="32" t="inlineStr">
        <is>
          <t>$50K-$2M+</t>
        </is>
      </c>
    </row>
    <row r="28" ht="16" customHeight="1">
      <c r="B28" s="33" t="inlineStr">
        <is>
          <t>Distribution Fee (%)</t>
        </is>
      </c>
      <c r="C28" s="38" t="n">
        <v>0.3</v>
      </c>
      <c r="D28" s="31" t="inlineStr">
        <is>
          <t>% of net film rental; negotiable</t>
        </is>
      </c>
      <c r="E28" s="32" t="inlineStr">
        <is>
          <t>25%-35%</t>
        </is>
      </c>
    </row>
    <row r="29" ht="16" customHeight="1">
      <c r="B29" s="21" t="inlineStr">
        <is>
          <t>Sales Agent Commission (%)</t>
        </is>
      </c>
      <c r="C29" s="38" t="n">
        <v>0.12</v>
      </c>
      <c r="D29" s="31" t="inlineStr">
        <is>
          <t>% of gross foreign receipts</t>
        </is>
      </c>
      <c r="E29" s="32" t="inlineStr">
        <is>
          <t>10%-15%</t>
        </is>
      </c>
    </row>
    <row r="30" ht="16" customHeight="1">
      <c r="B30" s="33" t="inlineStr">
        <is>
          <t>CAMA (Collection Account)?</t>
        </is>
      </c>
      <c r="C30" s="40" t="inlineStr">
        <is>
          <t>Yes</t>
        </is>
      </c>
      <c r="D30" s="31" t="inlineStr">
        <is>
          <t>Strongly recommended — protects waterfall order</t>
        </is>
      </c>
      <c r="E30" s="32" t="inlineStr">
        <is>
          <t>Yes (best practice)</t>
        </is>
      </c>
    </row>
    <row r="31" ht="16" customHeight="1">
      <c r="B31" s="21" t="inlineStr">
        <is>
          <t>Completion Bond Required?</t>
        </is>
      </c>
      <c r="C31" s="40" t="inlineStr">
        <is>
          <t>Yes</t>
        </is>
      </c>
      <c r="D31" s="31" t="inlineStr">
        <is>
          <t>Required by most gap/debt providers; ~2-3% in budget</t>
        </is>
      </c>
      <c r="E31" s="32" t="inlineStr">
        <is>
          <t>Yes if debt used</t>
        </is>
      </c>
    </row>
    <row r="33" ht="16" customHeight="1">
      <c r="B33" s="17" t="inlineStr">
        <is>
          <t xml:space="preserve">  D. LEGAL, OFFERING &amp; TIMELINE</t>
        </is>
      </c>
    </row>
    <row r="34" ht="16" customHeight="1">
      <c r="B34" s="33" t="inlineStr">
        <is>
          <t>Raise Close Target</t>
        </is>
      </c>
      <c r="C34" s="40" t="inlineStr">
        <is>
          <t>Q2 2026</t>
        </is>
      </c>
      <c r="D34" s="31" t="inlineStr">
        <is>
          <t>Investment deadline for pitch materials</t>
        </is>
      </c>
      <c r="E34" s="32" t="inlineStr">
        <is>
          <t>—</t>
        </is>
      </c>
    </row>
    <row r="35" ht="16" customHeight="1">
      <c r="B35" s="21" t="inlineStr">
        <is>
          <t>Legal Vehicle</t>
        </is>
      </c>
      <c r="C35" s="40" t="inlineStr">
        <is>
          <t>Single-Purpose LLC</t>
        </is>
      </c>
      <c r="D35" s="31" t="inlineStr">
        <is>
          <t>Investors = Class A Limited Members; filmmaker = Manager</t>
        </is>
      </c>
      <c r="E35" s="32" t="inlineStr">
        <is>
          <t>LLC (SPE)</t>
        </is>
      </c>
    </row>
    <row r="36" ht="16" customHeight="1">
      <c r="B36" s="33" t="inlineStr">
        <is>
          <t>Securities Exemption</t>
        </is>
      </c>
      <c r="C36" s="40" t="inlineStr">
        <is>
          <t>Reg D / Rule 506(b)</t>
        </is>
      </c>
      <c r="D36" s="31" t="inlineStr">
        <is>
          <t>Accredited investors only; no general solicitation (or 506(c) w/ verification)</t>
        </is>
      </c>
      <c r="E36" s="32" t="inlineStr">
        <is>
          <t>Reg D</t>
        </is>
      </c>
    </row>
    <row r="37" ht="16" customHeight="1">
      <c r="B37" s="21" t="inlineStr">
        <is>
          <t>PPM Required?</t>
        </is>
      </c>
      <c r="C37" s="40" t="inlineStr">
        <is>
          <t>Yes — Attorney Drafted</t>
        </is>
      </c>
      <c r="D37" s="31" t="inlineStr">
        <is>
          <t>Legally binding; must be completed before accepting any funds</t>
        </is>
      </c>
      <c r="E37" s="32" t="inlineStr">
        <is>
          <t>Always</t>
        </is>
      </c>
    </row>
    <row r="38" ht="16" customHeight="1">
      <c r="B38" s="33" t="inlineStr">
        <is>
          <t>SAG-AFTRA Tier</t>
        </is>
      </c>
      <c r="C38" s="40" t="inlineStr">
        <is>
          <t>Modified Low Budget</t>
        </is>
      </c>
      <c r="D38" s="31" t="inlineStr">
        <is>
          <t>Confirm eligibility; drives all cast minimum rates</t>
        </is>
      </c>
      <c r="E38" s="32" t="inlineStr">
        <is>
          <t>Budget-dependent</t>
        </is>
      </c>
    </row>
    <row r="39" ht="16" customHeight="1">
      <c r="B39" s="21" t="inlineStr">
        <is>
          <t>E&amp;O Insurance ($)</t>
        </is>
      </c>
      <c r="C39" s="34" t="n">
        <v>1000000</v>
      </c>
      <c r="D39" s="31" t="inlineStr">
        <is>
          <t>Required by all major distributors at delivery</t>
        </is>
      </c>
      <c r="E39" s="32" t="inlineStr">
        <is>
          <t>$1M minimum</t>
        </is>
      </c>
    </row>
  </sheetData>
  <mergeCells count="5">
    <mergeCell ref="B4:E4"/>
    <mergeCell ref="B16:E16"/>
    <mergeCell ref="B33:E33"/>
    <mergeCell ref="B24:E24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2" customWidth="1" min="4" max="4"/>
    <col width="16" customWidth="1" min="5" max="5"/>
    <col width="12" customWidth="1" min="6" max="6"/>
    <col width="24" customWidth="1" min="7" max="7"/>
  </cols>
  <sheetData>
    <row r="2" ht="20" customHeight="1">
      <c r="B2" s="3" t="inlineStr">
        <is>
          <t xml:space="preserve">  PRODUCTION BUDGET  —  Top Sheet by Department  |  $2M Example  |  Blue = input, Black = formula</t>
        </is>
      </c>
    </row>
    <row r="3" ht="18" customHeight="1">
      <c r="B3" s="3" t="inlineStr">
        <is>
          <t>Line Item</t>
        </is>
      </c>
      <c r="C3" s="29" t="inlineStr">
        <is>
          <t>Budget ($)</t>
        </is>
      </c>
      <c r="D3" s="29" t="inlineStr">
        <is>
          <t>% Total</t>
        </is>
      </c>
      <c r="E3" s="29" t="inlineStr">
        <is>
          <t>Prior Est. ($)</t>
        </is>
      </c>
      <c r="F3" s="29" t="inlineStr">
        <is>
          <t>Variance ($)</t>
        </is>
      </c>
      <c r="G3" s="29" t="inlineStr">
        <is>
          <t>Notes</t>
        </is>
      </c>
    </row>
    <row r="4" ht="16" customHeight="1">
      <c r="B4" s="41" t="inlineStr">
        <is>
          <t>ABOVE THE LINE</t>
        </is>
      </c>
    </row>
    <row r="5" ht="16" customHeight="1">
      <c r="B5" s="42" t="inlineStr">
        <is>
          <t>Story &amp; Rights / Option</t>
        </is>
      </c>
      <c r="C5" s="34" t="n">
        <v>40000</v>
      </c>
      <c r="D5" s="43">
        <f>IF(C44=0,"",C5/C44)</f>
        <v/>
      </c>
      <c r="E5" s="34" t="n">
        <v>40000</v>
      </c>
      <c r="F5" s="44">
        <f>C5-E5</f>
        <v/>
      </c>
      <c r="G5" s="31" t="inlineStr">
        <is>
          <t>Option on underlying IP rights</t>
        </is>
      </c>
    </row>
    <row r="6" ht="16" customHeight="1">
      <c r="B6" s="42" t="inlineStr">
        <is>
          <t>Screenplay / Final Polish</t>
        </is>
      </c>
      <c r="C6" s="34" t="n">
        <v>25000</v>
      </c>
      <c r="D6" s="43">
        <f>IF(C44=0,"",C6/C44)</f>
        <v/>
      </c>
      <c r="E6" s="34" t="n">
        <v>25000</v>
      </c>
      <c r="F6" s="44">
        <f>C6-E6</f>
        <v/>
      </c>
      <c r="G6" s="31" t="inlineStr">
        <is>
          <t>WGA minimum or negotiated fee</t>
        </is>
      </c>
    </row>
    <row r="7" ht="16" customHeight="1">
      <c r="B7" s="42" t="inlineStr">
        <is>
          <t>Producer(s) Fee</t>
        </is>
      </c>
      <c r="C7" s="34" t="n">
        <v>60000</v>
      </c>
      <c r="D7" s="43">
        <f>IF(C44=0,"",C7/C44)</f>
        <v/>
      </c>
      <c r="E7" s="34" t="n">
        <v>60000</v>
      </c>
      <c r="F7" s="44">
        <f>C7-E7</f>
        <v/>
      </c>
      <c r="G7" s="31" t="inlineStr">
        <is>
          <t>Lead producer; deferral common</t>
        </is>
      </c>
    </row>
    <row r="8" ht="16" customHeight="1">
      <c r="B8" s="42" t="inlineStr">
        <is>
          <t>Director Fee</t>
        </is>
      </c>
      <c r="C8" s="34" t="n">
        <v>100000</v>
      </c>
      <c r="D8" s="43">
        <f>IF(C44=0,"",C8/C44)</f>
        <v/>
      </c>
      <c r="E8" s="34" t="n">
        <v>100000</v>
      </c>
      <c r="F8" s="44">
        <f>C8-E8</f>
        <v/>
      </c>
      <c r="G8" s="31" t="inlineStr">
        <is>
          <t>DGA or non-union negotiated</t>
        </is>
      </c>
    </row>
    <row r="9" ht="16" customHeight="1">
      <c r="B9" s="42" t="inlineStr">
        <is>
          <t>Lead Cast</t>
        </is>
      </c>
      <c r="C9" s="34" t="n">
        <v>200000</v>
      </c>
      <c r="D9" s="43">
        <f>IF(C44=0,"",C9/C44)</f>
        <v/>
      </c>
      <c r="E9" s="34" t="n">
        <v>200000</v>
      </c>
      <c r="F9" s="44">
        <f>C9-E9</f>
        <v/>
      </c>
      <c r="G9" s="31" t="inlineStr">
        <is>
          <t>SAG Modified Low Budget rates</t>
        </is>
      </c>
    </row>
    <row r="10" ht="16" customHeight="1">
      <c r="B10" s="42" t="inlineStr">
        <is>
          <t>Supporting Cast</t>
        </is>
      </c>
      <c r="C10" s="34" t="n">
        <v>50000</v>
      </c>
      <c r="D10" s="43">
        <f>IF(C44=0,"",C10/C44)</f>
        <v/>
      </c>
      <c r="E10" s="34" t="n">
        <v>50000</v>
      </c>
      <c r="F10" s="44">
        <f>C10-E10</f>
        <v/>
      </c>
      <c r="G10" s="31" t="inlineStr">
        <is>
          <t>Supporting &amp; day players</t>
        </is>
      </c>
    </row>
    <row r="11" ht="16" customHeight="1">
      <c r="B11" s="4" t="inlineStr">
        <is>
          <t>ATL SUBTOTAL</t>
        </is>
      </c>
      <c r="C11" s="45">
        <f>SUM(C5,C6,C7,C8,C9,C10)</f>
        <v/>
      </c>
      <c r="D11" s="46">
        <f>IF(C44=0,"",C11/C44)</f>
        <v/>
      </c>
      <c r="G11" s="31" t="inlineStr"/>
    </row>
    <row r="12" ht="16" customHeight="1">
      <c r="B12" s="41" t="inlineStr">
        <is>
          <t>BELOW THE LINE — PRODUCTION</t>
        </is>
      </c>
    </row>
    <row r="13" ht="16" customHeight="1">
      <c r="B13" s="42" t="inlineStr">
        <is>
          <t>1st AD / Production Staff</t>
        </is>
      </c>
      <c r="C13" s="34" t="n">
        <v>35000</v>
      </c>
      <c r="D13" s="43">
        <f>IF(C44=0,"",C13/C44)</f>
        <v/>
      </c>
      <c r="E13" s="34" t="n">
        <v>35000</v>
      </c>
      <c r="F13" s="44">
        <f>C13-E13</f>
        <v/>
      </c>
      <c r="G13" s="31" t="inlineStr">
        <is>
          <t>Dept coordinators + PAs</t>
        </is>
      </c>
    </row>
    <row r="14" ht="16" customHeight="1">
      <c r="B14" s="42" t="inlineStr">
        <is>
          <t>Camera (crew + equipment)</t>
        </is>
      </c>
      <c r="C14" s="34" t="n">
        <v>80000</v>
      </c>
      <c r="D14" s="43">
        <f>IF(C44=0,"",C14/C44)</f>
        <v/>
      </c>
      <c r="E14" s="34" t="n">
        <v>80000</v>
      </c>
      <c r="F14" s="44">
        <f>C14-E14</f>
        <v/>
      </c>
      <c r="G14" s="31" t="inlineStr">
        <is>
          <t>DP + camera package + lenses</t>
        </is>
      </c>
    </row>
    <row r="15" ht="16" customHeight="1">
      <c r="B15" s="42" t="inlineStr">
        <is>
          <t>Grip &amp; Electric</t>
        </is>
      </c>
      <c r="C15" s="34" t="n">
        <v>120000</v>
      </c>
      <c r="D15" s="43">
        <f>IF(C44=0,"",C15/C44)</f>
        <v/>
      </c>
      <c r="E15" s="34" t="n">
        <v>120000</v>
      </c>
      <c r="F15" s="44">
        <f>C15-E15</f>
        <v/>
      </c>
      <c r="G15" s="31" t="inlineStr">
        <is>
          <t>Gaffer, key grip, truck + equip.</t>
        </is>
      </c>
    </row>
    <row r="16" ht="16" customHeight="1">
      <c r="B16" s="42" t="inlineStr">
        <is>
          <t>Art Dept / Production Design</t>
        </is>
      </c>
      <c r="C16" s="34" t="n">
        <v>90000</v>
      </c>
      <c r="D16" s="43">
        <f>IF(C44=0,"",C16/C44)</f>
        <v/>
      </c>
      <c r="E16" s="34" t="n">
        <v>90000</v>
      </c>
      <c r="F16" s="44">
        <f>C16-E16</f>
        <v/>
      </c>
      <c r="G16" s="31" t="inlineStr">
        <is>
          <t>PD, set dec, props, builds</t>
        </is>
      </c>
    </row>
    <row r="17" ht="16" customHeight="1">
      <c r="B17" s="42" t="inlineStr">
        <is>
          <t>Wardrobe / Costume</t>
        </is>
      </c>
      <c r="C17" s="34" t="n">
        <v>35000</v>
      </c>
      <c r="D17" s="43">
        <f>IF(C44=0,"",C17/C44)</f>
        <v/>
      </c>
      <c r="E17" s="34" t="n">
        <v>35000</v>
      </c>
      <c r="F17" s="44">
        <f>C17-E17</f>
        <v/>
      </c>
      <c r="G17" s="31" t="inlineStr">
        <is>
          <t>Costumes, rentals, laundry</t>
        </is>
      </c>
    </row>
    <row r="18" ht="16" customHeight="1">
      <c r="B18" s="42" t="inlineStr">
        <is>
          <t>Hair &amp; Makeup</t>
        </is>
      </c>
      <c r="C18" s="34" t="n">
        <v>28000</v>
      </c>
      <c r="D18" s="43">
        <f>IF(C44=0,"",C18/C44)</f>
        <v/>
      </c>
      <c r="E18" s="34" t="n">
        <v>28000</v>
      </c>
      <c r="F18" s="44">
        <f>C18-E18</f>
        <v/>
      </c>
      <c r="G18" s="31" t="inlineStr">
        <is>
          <t>Key MUA + hair dept</t>
        </is>
      </c>
    </row>
    <row r="19" ht="16" customHeight="1">
      <c r="B19" s="42" t="inlineStr">
        <is>
          <t>Sound (Production)</t>
        </is>
      </c>
      <c r="C19" s="34" t="n">
        <v>22000</v>
      </c>
      <c r="D19" s="43">
        <f>IF(C44=0,"",C19/C44)</f>
        <v/>
      </c>
      <c r="E19" s="34" t="n">
        <v>22000</v>
      </c>
      <c r="F19" s="44">
        <f>C19-E19</f>
        <v/>
      </c>
      <c r="G19" s="31" t="inlineStr">
        <is>
          <t>Mixer, boom, kit rental</t>
        </is>
      </c>
    </row>
    <row r="20" ht="16" customHeight="1">
      <c r="B20" s="42" t="inlineStr">
        <is>
          <t>Locations &amp; Permits</t>
        </is>
      </c>
      <c r="C20" s="34" t="n">
        <v>65000</v>
      </c>
      <c r="D20" s="43">
        <f>IF(C44=0,"",C20/C44)</f>
        <v/>
      </c>
      <c r="E20" s="34" t="n">
        <v>65000</v>
      </c>
      <c r="F20" s="44">
        <f>C20-E20</f>
        <v/>
      </c>
      <c r="G20" s="31" t="inlineStr">
        <is>
          <t>Location fees, scouts, permits</t>
        </is>
      </c>
    </row>
    <row r="21" ht="16" customHeight="1">
      <c r="B21" s="42" t="inlineStr">
        <is>
          <t>Transportation</t>
        </is>
      </c>
      <c r="C21" s="34" t="n">
        <v>55000</v>
      </c>
      <c r="D21" s="43">
        <f>IF(C44=0,"",C21/C44)</f>
        <v/>
      </c>
      <c r="E21" s="34" t="n">
        <v>55000</v>
      </c>
      <c r="F21" s="44">
        <f>C21-E21</f>
        <v/>
      </c>
      <c r="G21" s="31" t="inlineStr">
        <is>
          <t>Trucks, base camp, talent</t>
        </is>
      </c>
    </row>
    <row r="22" ht="16" customHeight="1">
      <c r="B22" s="42" t="inlineStr">
        <is>
          <t>Catering &amp; Craft Services</t>
        </is>
      </c>
      <c r="C22" s="34" t="n">
        <v>40000</v>
      </c>
      <c r="D22" s="43">
        <f>IF(C44=0,"",C22/C44)</f>
        <v/>
      </c>
      <c r="E22" s="34" t="n">
        <v>40000</v>
      </c>
      <c r="F22" s="44">
        <f>C22-E22</f>
        <v/>
      </c>
      <c r="G22" s="31" t="inlineStr">
        <is>
          <t>On-set food ~30 days</t>
        </is>
      </c>
    </row>
    <row r="23" ht="16" customHeight="1">
      <c r="B23" s="42" t="inlineStr">
        <is>
          <t>Extras / Background</t>
        </is>
      </c>
      <c r="C23" s="34" t="n">
        <v>18000</v>
      </c>
      <c r="D23" s="43">
        <f>IF(C44=0,"",C23/C44)</f>
        <v/>
      </c>
      <c r="E23" s="34" t="n">
        <v>18000</v>
      </c>
      <c r="F23" s="44">
        <f>C23-E23</f>
        <v/>
      </c>
      <c r="G23" s="31" t="inlineStr">
        <is>
          <t>Featured + general BG</t>
        </is>
      </c>
    </row>
    <row r="24" ht="16" customHeight="1">
      <c r="B24" s="42" t="inlineStr">
        <is>
          <t>Stunts</t>
        </is>
      </c>
      <c r="C24" s="34" t="n">
        <v>15000</v>
      </c>
      <c r="D24" s="43">
        <f>IF(C44=0,"",C24/C44)</f>
        <v/>
      </c>
      <c r="E24" s="34" t="n">
        <v>15000</v>
      </c>
      <c r="F24" s="44">
        <f>C24-E24</f>
        <v/>
      </c>
      <c r="G24" s="31" t="inlineStr">
        <is>
          <t>Stunt coordinator + personnel</t>
        </is>
      </c>
    </row>
    <row r="25" ht="16" customHeight="1">
      <c r="B25" s="4" t="inlineStr">
        <is>
          <t>BTL PRODUCTION SUBTOTAL</t>
        </is>
      </c>
      <c r="C25" s="45">
        <f>SUM(C13,C14,C15,C16,C17,C18,C19,C20,C21,C22,C23,C24)</f>
        <v/>
      </c>
      <c r="D25" s="46">
        <f>IF(C44=0,"",C25/C44)</f>
        <v/>
      </c>
      <c r="G25" s="31" t="inlineStr"/>
    </row>
    <row r="26" ht="16" customHeight="1">
      <c r="B26" s="41" t="inlineStr">
        <is>
          <t>POST-PRODUCTION</t>
        </is>
      </c>
    </row>
    <row r="27" ht="16" customHeight="1">
      <c r="B27" s="42" t="inlineStr">
        <is>
          <t>Editorial (editor + asst.)</t>
        </is>
      </c>
      <c r="C27" s="34" t="n">
        <v>75000</v>
      </c>
      <c r="D27" s="43">
        <f>IF(C44=0,"",C27/C44)</f>
        <v/>
      </c>
      <c r="E27" s="34" t="n">
        <v>75000</v>
      </c>
      <c r="F27" s="44">
        <f>C27-E27</f>
        <v/>
      </c>
      <c r="G27" s="31" t="inlineStr">
        <is>
          <t>~12-week edit; gear/software</t>
        </is>
      </c>
    </row>
    <row r="28" ht="16" customHeight="1">
      <c r="B28" s="42" t="inlineStr">
        <is>
          <t>Color Grading / DI</t>
        </is>
      </c>
      <c r="C28" s="34" t="n">
        <v>40000</v>
      </c>
      <c r="D28" s="43">
        <f>IF(C44=0,"",C28/C44)</f>
        <v/>
      </c>
      <c r="E28" s="34" t="n">
        <v>40000</v>
      </c>
      <c r="F28" s="44">
        <f>C28-E28</f>
        <v/>
      </c>
      <c r="G28" s="31" t="inlineStr">
        <is>
          <t>Color correction + finishing</t>
        </is>
      </c>
    </row>
    <row r="29" ht="16" customHeight="1">
      <c r="B29" s="42" t="inlineStr">
        <is>
          <t>Music Score + Licensing</t>
        </is>
      </c>
      <c r="C29" s="34" t="n">
        <v>35000</v>
      </c>
      <c r="D29" s="43">
        <f>IF(C44=0,"",C29/C44)</f>
        <v/>
      </c>
      <c r="E29" s="34" t="n">
        <v>35000</v>
      </c>
      <c r="F29" s="44">
        <f>C29-E29</f>
        <v/>
      </c>
      <c r="G29" s="31" t="inlineStr">
        <is>
          <t>Composer fee + sync budget</t>
        </is>
      </c>
    </row>
    <row r="30" ht="16" customHeight="1">
      <c r="B30" s="42" t="inlineStr">
        <is>
          <t>Sound Design / Mix</t>
        </is>
      </c>
      <c r="C30" s="34" t="n">
        <v>30000</v>
      </c>
      <c r="D30" s="43">
        <f>IF(C44=0,"",C30/C44)</f>
        <v/>
      </c>
      <c r="E30" s="34" t="n">
        <v>30000</v>
      </c>
      <c r="F30" s="44">
        <f>C30-E30</f>
        <v/>
      </c>
      <c r="G30" s="31" t="inlineStr">
        <is>
          <t>Sound supervisor + mix sessions</t>
        </is>
      </c>
    </row>
    <row r="31" ht="16" customHeight="1">
      <c r="B31" s="42" t="inlineStr">
        <is>
          <t>VFX / Title Graphics</t>
        </is>
      </c>
      <c r="C31" s="34" t="n">
        <v>20000</v>
      </c>
      <c r="D31" s="43">
        <f>IF(C44=0,"",C31/C44)</f>
        <v/>
      </c>
      <c r="E31" s="34" t="n">
        <v>20000</v>
      </c>
      <c r="F31" s="44">
        <f>C31-E31</f>
        <v/>
      </c>
      <c r="G31" s="31" t="inlineStr">
        <is>
          <t>Basic VFX; title design</t>
        </is>
      </c>
    </row>
    <row r="32" ht="16" customHeight="1">
      <c r="B32" s="42" t="inlineStr">
        <is>
          <t>Deliverables (DCP, IMF, etc.)</t>
        </is>
      </c>
      <c r="C32" s="34" t="n">
        <v>20000</v>
      </c>
      <c r="D32" s="43">
        <f>IF(C44=0,"",C32/C44)</f>
        <v/>
      </c>
      <c r="E32" s="34" t="n">
        <v>20000</v>
      </c>
      <c r="F32" s="44">
        <f>C32-E32</f>
        <v/>
      </c>
      <c r="G32" s="31" t="inlineStr">
        <is>
          <t>DCP master + digital deliverables</t>
        </is>
      </c>
    </row>
    <row r="33" ht="16" customHeight="1">
      <c r="B33" s="42" t="inlineStr">
        <is>
          <t>Closed Captions / Subtitles</t>
        </is>
      </c>
      <c r="C33" s="34" t="n">
        <v>5000</v>
      </c>
      <c r="D33" s="43">
        <f>IF(C44=0,"",C33/C44)</f>
        <v/>
      </c>
      <c r="E33" s="34" t="n">
        <v>5000</v>
      </c>
      <c r="F33" s="44">
        <f>C33-E33</f>
        <v/>
      </c>
      <c r="G33" s="31" t="inlineStr">
        <is>
          <t>Required by all streaming platforms</t>
        </is>
      </c>
    </row>
    <row r="34" ht="16" customHeight="1">
      <c r="B34" s="4" t="inlineStr">
        <is>
          <t>POST SUBTOTAL</t>
        </is>
      </c>
      <c r="C34" s="45">
        <f>SUM(C27,C28,C29,C30,C31,C32,C33)</f>
        <v/>
      </c>
      <c r="D34" s="46">
        <f>IF(C44=0,"",C34/C44)</f>
        <v/>
      </c>
      <c r="G34" s="31" t="inlineStr"/>
    </row>
    <row r="35" ht="16" customHeight="1">
      <c r="B35" s="41" t="inlineStr">
        <is>
          <t>GENERAL &amp; ADMINISTRATIVE</t>
        </is>
      </c>
    </row>
    <row r="36" ht="16" customHeight="1">
      <c r="B36" s="42" t="inlineStr">
        <is>
          <t>Production + E&amp;O Insurance</t>
        </is>
      </c>
      <c r="C36" s="34" t="n">
        <v>37000</v>
      </c>
      <c r="D36" s="43">
        <f>IF(C44=0,"",C36/C44)</f>
        <v/>
      </c>
      <c r="E36" s="34" t="n">
        <v>37000</v>
      </c>
      <c r="F36" s="44">
        <f>C36-E36</f>
        <v/>
      </c>
      <c r="G36" s="31" t="inlineStr">
        <is>
          <t>Cast, equip., GL, workers comp + E&amp;O</t>
        </is>
      </c>
    </row>
    <row r="37" ht="16" customHeight="1">
      <c r="B37" s="42" t="inlineStr">
        <is>
          <t>Completion Bond (~2.5%)</t>
        </is>
      </c>
      <c r="C37" s="34" t="n">
        <v>50000</v>
      </c>
      <c r="D37" s="43">
        <f>IF(C44=0,"",C37/C44)</f>
        <v/>
      </c>
      <c r="E37" s="34" t="n">
        <v>50000</v>
      </c>
      <c r="F37" s="44">
        <f>C37-E37</f>
        <v/>
      </c>
      <c r="G37" s="31" t="inlineStr">
        <is>
          <t>Required by gap/debt lenders; ~2-3% total</t>
        </is>
      </c>
    </row>
    <row r="38" ht="16" customHeight="1">
      <c r="B38" s="42" t="inlineStr">
        <is>
          <t>Legal (entertainment attorney)</t>
        </is>
      </c>
      <c r="C38" s="34" t="n">
        <v>20000</v>
      </c>
      <c r="D38" s="43">
        <f>IF(C44=0,"",C38/C44)</f>
        <v/>
      </c>
      <c r="E38" s="34" t="n">
        <v>20000</v>
      </c>
      <c r="F38" s="44">
        <f>C38-E38</f>
        <v/>
      </c>
      <c r="G38" s="31" t="inlineStr">
        <is>
          <t>PPM, LLC formation, all contracts</t>
        </is>
      </c>
    </row>
    <row r="39" ht="16" customHeight="1">
      <c r="B39" s="42" t="inlineStr">
        <is>
          <t>Accounting / Production Audit</t>
        </is>
      </c>
      <c r="C39" s="34" t="n">
        <v>15000</v>
      </c>
      <c r="D39" s="43">
        <f>IF(C44=0,"",C39/C44)</f>
        <v/>
      </c>
      <c r="E39" s="34" t="n">
        <v>15000</v>
      </c>
      <c r="F39" s="44">
        <f>C39-E39</f>
        <v/>
      </c>
      <c r="G39" s="31" t="inlineStr">
        <is>
          <t>Production accountant + year-end CPA</t>
        </is>
      </c>
    </row>
    <row r="40" ht="16" customHeight="1">
      <c r="B40" s="42" t="inlineStr">
        <is>
          <t>Festival Submissions &amp; Fees</t>
        </is>
      </c>
      <c r="C40" s="34" t="n">
        <v>10000</v>
      </c>
      <c r="D40" s="43">
        <f>IF(C44=0,"",C40/C44)</f>
        <v/>
      </c>
      <c r="E40" s="34" t="n">
        <v>10000</v>
      </c>
      <c r="F40" s="44">
        <f>C40-E40</f>
        <v/>
      </c>
      <c r="G40" s="31" t="inlineStr">
        <is>
          <t>Entry fees, screeners, travel</t>
        </is>
      </c>
    </row>
    <row r="41" ht="16" customHeight="1">
      <c r="B41" s="42" t="inlineStr">
        <is>
          <t>Marketing / PR Seed</t>
        </is>
      </c>
      <c r="C41" s="34" t="n">
        <v>20000</v>
      </c>
      <c r="D41" s="43">
        <f>IF(C44=0,"",C41/C44)</f>
        <v/>
      </c>
      <c r="E41" s="34" t="n">
        <v>20000</v>
      </c>
      <c r="F41" s="44">
        <f>C41-E41</f>
        <v/>
      </c>
      <c r="G41" s="31" t="inlineStr">
        <is>
          <t>Key art, trailer, website, social</t>
        </is>
      </c>
    </row>
    <row r="42" ht="16" customHeight="1">
      <c r="B42" s="4" t="inlineStr">
        <is>
          <t>G&amp;A SUBTOTAL</t>
        </is>
      </c>
      <c r="C42" s="45">
        <f>SUM(C36,C37,C38,C39,C40,C41)</f>
        <v/>
      </c>
      <c r="D42" s="46">
        <f>IF(C44=0,"",C42/C44)</f>
        <v/>
      </c>
      <c r="G42" s="31" t="inlineStr"/>
    </row>
    <row r="43" ht="16" customHeight="1">
      <c r="B43" s="4" t="inlineStr">
        <is>
          <t>CONTINGENCY (10% of BTL + Post)</t>
        </is>
      </c>
      <c r="C43" s="45">
        <f>(C25+C34)*0.10</f>
        <v/>
      </c>
      <c r="D43" s="46">
        <f>IF(C44=0,"",C43/C44)</f>
        <v/>
      </c>
      <c r="G43" s="31" t="inlineStr">
        <is>
          <t>Standard 10% overage reserve</t>
        </is>
      </c>
    </row>
    <row r="44" ht="16" customHeight="1">
      <c r="B44" s="8" t="inlineStr">
        <is>
          <t>TOTAL PRODUCTION BUDGET</t>
        </is>
      </c>
      <c r="C44" s="47">
        <f>C11+C25+C34+C42+C43</f>
        <v/>
      </c>
      <c r="D44" s="48">
        <f>IF(C44=0,"",C44/C44)</f>
        <v/>
      </c>
      <c r="G44" s="31" t="inlineStr"/>
    </row>
    <row r="46" ht="24" customHeight="1">
      <c r="B46" s="27" t="inlineStr">
        <is>
          <t>Illustrative figures. Costs vary by union status, genre, location, schedule. Completion bond ~2.5% in G&amp;A. Contingency = 10% of BTL+Post.</t>
        </is>
      </c>
    </row>
    <row r="49">
      <c r="B49" t="inlineStr">
        <is>
          <t>ATL</t>
        </is>
      </c>
      <c r="C49" s="49">
        <f>C11</f>
        <v/>
      </c>
    </row>
    <row r="50">
      <c r="B50" t="inlineStr">
        <is>
          <t>BTL Prod</t>
        </is>
      </c>
      <c r="C50" s="49">
        <f>C25</f>
        <v/>
      </c>
    </row>
    <row r="51">
      <c r="B51" t="inlineStr">
        <is>
          <t>Post</t>
        </is>
      </c>
      <c r="C51" s="49">
        <f>C34</f>
        <v/>
      </c>
    </row>
    <row r="52">
      <c r="B52" t="inlineStr">
        <is>
          <t>G&amp;A</t>
        </is>
      </c>
      <c r="C52" s="49">
        <f>C42</f>
        <v/>
      </c>
    </row>
    <row r="53">
      <c r="B53" t="inlineStr">
        <is>
          <t>Contingency</t>
        </is>
      </c>
      <c r="C53" s="49">
        <f>C43</f>
        <v/>
      </c>
    </row>
  </sheetData>
  <mergeCells count="6">
    <mergeCell ref="B2:G2"/>
    <mergeCell ref="B46:G46"/>
    <mergeCell ref="B35:G35"/>
    <mergeCell ref="B4:G4"/>
    <mergeCell ref="B26:G26"/>
    <mergeCell ref="B12:G1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2" customWidth="1" min="4" max="4"/>
    <col width="14" customWidth="1" min="5" max="5"/>
    <col width="16" customWidth="1" min="6" max="6"/>
    <col width="36" customWidth="1" min="7" max="7"/>
  </cols>
  <sheetData>
    <row r="2" ht="20" customHeight="1">
      <c r="B2" s="3" t="inlineStr">
        <is>
          <t xml:space="preserve">  CAPITAL STACK  —  Financing Sources, Risk Position &amp; Investor Terms</t>
        </is>
      </c>
    </row>
    <row r="3" ht="18" customHeight="1">
      <c r="B3" s="3" t="inlineStr">
        <is>
          <t>Financing Layer</t>
        </is>
      </c>
      <c r="C3" s="29" t="inlineStr">
        <is>
          <t>Amount ($)</t>
        </is>
      </c>
      <c r="D3" s="29" t="inlineStr">
        <is>
          <t>% of Budget</t>
        </is>
      </c>
      <c r="E3" s="29" t="inlineStr">
        <is>
          <t>Position</t>
        </is>
      </c>
      <c r="F3" s="29" t="inlineStr">
        <is>
          <t>Target Return</t>
        </is>
      </c>
      <c r="G3" s="29" t="inlineStr">
        <is>
          <t>Notes</t>
        </is>
      </c>
    </row>
    <row r="4" ht="16" customHeight="1">
      <c r="B4" s="41" t="inlineStr">
        <is>
          <t>NON-DILUTIVE / SOFT MONEY (Received First)</t>
        </is>
      </c>
    </row>
    <row r="5" ht="16" customHeight="1">
      <c r="B5" s="42" t="inlineStr">
        <is>
          <t>State Tax Credit / Production Rebate</t>
        </is>
      </c>
      <c r="C5" s="11">
        <f>'2_Assumptions'!C8</f>
        <v/>
      </c>
      <c r="D5" s="43">
        <f>IF('2_Assumptions'!C7=0,"",C5/'2_Assumptions'!C7)</f>
        <v/>
      </c>
      <c r="E5" s="50" t="inlineStr">
        <is>
          <t>Non-dilutive</t>
        </is>
      </c>
      <c r="F5" s="50" t="inlineStr">
        <is>
          <t>N/A</t>
        </is>
      </c>
      <c r="G5" s="21" t="inlineStr">
        <is>
          <t>Received post-wrap; used to repay tax credit loan</t>
        </is>
      </c>
    </row>
    <row r="6" ht="16" customHeight="1">
      <c r="B6" s="42" t="inlineStr">
        <is>
          <t>Federal / Intl Co-Pro Incentive</t>
        </is>
      </c>
      <c r="C6" s="35" t="n">
        <v>0</v>
      </c>
      <c r="D6" s="43">
        <f>IF('2_Assumptions'!C7=0,"",C6/'2_Assumptions'!C7)</f>
        <v/>
      </c>
      <c r="E6" s="50" t="inlineStr">
        <is>
          <t>Non-dilutive</t>
        </is>
      </c>
      <c r="F6" s="50" t="inlineStr">
        <is>
          <t>N/A</t>
        </is>
      </c>
      <c r="G6" s="21" t="inlineStr">
        <is>
          <t>Only if co-production treaty applies</t>
        </is>
      </c>
    </row>
    <row r="7" ht="16" customHeight="1">
      <c r="B7" s="42" t="inlineStr">
        <is>
          <t>Film Fund / Grant</t>
        </is>
      </c>
      <c r="C7" s="35" t="n">
        <v>0</v>
      </c>
      <c r="D7" s="43">
        <f>IF('2_Assumptions'!C7=0,"",C7/'2_Assumptions'!C7)</f>
        <v/>
      </c>
      <c r="E7" s="50" t="inlineStr">
        <is>
          <t>Non-dilutive</t>
        </is>
      </c>
      <c r="F7" s="50" t="inlineStr">
        <is>
          <t>N/A</t>
        </is>
      </c>
      <c r="G7" s="21" t="inlineStr">
        <is>
          <t>Sundance, IFC, regional arts councils, etc.</t>
        </is>
      </c>
    </row>
    <row r="8" ht="16" customHeight="1">
      <c r="B8" s="4" t="inlineStr">
        <is>
          <t>SOFT MONEY SUBTOTAL</t>
        </is>
      </c>
      <c r="C8" s="45">
        <f>SUM(C5,C6,C7)</f>
        <v/>
      </c>
      <c r="D8" s="46">
        <f>IF('2_Assumptions'!C7=0,"",C8/'2_Assumptions'!C7)</f>
        <v/>
      </c>
      <c r="E8" s="51" t="inlineStr"/>
      <c r="F8" s="51" t="inlineStr"/>
      <c r="G8" s="4" t="inlineStr"/>
    </row>
    <row r="9" ht="16" customHeight="1">
      <c r="B9" s="41" t="inlineStr">
        <is>
          <t>SENIOR DEBT — FIRST POSITION</t>
        </is>
      </c>
    </row>
    <row r="10" ht="16" customHeight="1">
      <c r="B10" s="42" t="inlineStr">
        <is>
          <t>Tax Credit Bridge Loan (90% advance)</t>
        </is>
      </c>
      <c r="C10" s="11">
        <f>'2_Assumptions'!C9</f>
        <v/>
      </c>
      <c r="D10" s="43">
        <f>IF('2_Assumptions'!C7=0,"",C10/'2_Assumptions'!C7)</f>
        <v/>
      </c>
      <c r="E10" s="50" t="inlineStr">
        <is>
          <t>1st Position</t>
        </is>
      </c>
      <c r="F10" s="52">
        <f>'2_Assumptions'!C20</f>
        <v/>
      </c>
      <c r="G10" s="21" t="inlineStr">
        <is>
          <t>Secured on tax credit; repaid upon receipt</t>
        </is>
      </c>
    </row>
    <row r="11" ht="16" customHeight="1">
      <c r="B11" s="42" t="inlineStr">
        <is>
          <t>Intl Pre-Sale Loan (90% of MGs)</t>
        </is>
      </c>
      <c r="C11" s="35" t="n">
        <v>0</v>
      </c>
      <c r="D11" s="43">
        <f>IF('2_Assumptions'!C7=0,"",C11/'2_Assumptions'!C7)</f>
        <v/>
      </c>
      <c r="E11" s="50" t="inlineStr">
        <is>
          <t>1st Position</t>
        </is>
      </c>
      <c r="F11" s="50" t="inlineStr">
        <is>
          <t>8-12%</t>
        </is>
      </c>
      <c r="G11" s="21" t="inlineStr">
        <is>
          <t>Secured against MG contracts; requires sales agent</t>
        </is>
      </c>
    </row>
    <row r="12" ht="16" customHeight="1">
      <c r="B12" s="42" t="inlineStr">
        <is>
          <t>Domestic MG / Output Deal</t>
        </is>
      </c>
      <c r="C12" s="35" t="n">
        <v>0</v>
      </c>
      <c r="D12" s="43">
        <f>IF('2_Assumptions'!C7=0,"",C12/'2_Assumptions'!C7)</f>
        <v/>
      </c>
      <c r="E12" s="50" t="inlineStr">
        <is>
          <t>1st Position</t>
        </is>
      </c>
      <c r="F12" s="50" t="inlineStr">
        <is>
          <t>8-12%</t>
        </is>
      </c>
      <c r="G12" s="21" t="inlineStr">
        <is>
          <t>Domestic advance; uncommon at &lt;$2M</t>
        </is>
      </c>
    </row>
    <row r="13" ht="16" customHeight="1">
      <c r="B13" s="4" t="inlineStr">
        <is>
          <t>SENIOR DEBT SUBTOTAL</t>
        </is>
      </c>
      <c r="C13" s="45">
        <f>SUM(C10,C11,C12)</f>
        <v/>
      </c>
      <c r="D13" s="46">
        <f>IF('2_Assumptions'!C7=0,"",C13/'2_Assumptions'!C7)</f>
        <v/>
      </c>
      <c r="E13" s="51" t="inlineStr"/>
      <c r="F13" s="51" t="inlineStr"/>
      <c r="G13" s="4" t="inlineStr"/>
    </row>
    <row r="14" ht="16" customHeight="1">
      <c r="B14" s="41" t="inlineStr">
        <is>
          <t>GAP / MEZZANINE — SECOND POSITION</t>
        </is>
      </c>
    </row>
    <row r="15" ht="16" customHeight="1">
      <c r="B15" s="42" t="inlineStr">
        <is>
          <t>Gap Loan (against unsold territories)</t>
        </is>
      </c>
      <c r="C15" s="11">
        <f>'2_Assumptions'!C10</f>
        <v/>
      </c>
      <c r="D15" s="43">
        <f>IF('2_Assumptions'!C7=0,"",C15/'2_Assumptions'!C7)</f>
        <v/>
      </c>
      <c r="E15" s="50" t="inlineStr">
        <is>
          <t>2nd Position</t>
        </is>
      </c>
      <c r="F15" s="52">
        <f>'2_Assumptions'!C21</f>
        <v/>
      </c>
      <c r="G15" s="21" t="inlineStr">
        <is>
          <t>Lender holds security in unsold territory rights</t>
        </is>
      </c>
    </row>
    <row r="16" ht="16" customHeight="1">
      <c r="B16" s="42" t="inlineStr">
        <is>
          <t>Mezzanine / Subordinated Note</t>
        </is>
      </c>
      <c r="C16" s="35" t="n">
        <v>0</v>
      </c>
      <c r="D16" s="43">
        <f>IF('2_Assumptions'!C7=0,"",C16/'2_Assumptions'!C7)</f>
        <v/>
      </c>
      <c r="E16" s="50" t="inlineStr">
        <is>
          <t>2nd Position</t>
        </is>
      </c>
      <c r="F16" s="50" t="inlineStr">
        <is>
          <t>15-20%</t>
        </is>
      </c>
      <c r="G16" s="21" t="inlineStr">
        <is>
          <t>Subordinated to senior debt; pari passu or junior to gap</t>
        </is>
      </c>
    </row>
    <row r="17" ht="16" customHeight="1">
      <c r="B17" s="4" t="inlineStr">
        <is>
          <t>GAP / MEZZ SUBTOTAL</t>
        </is>
      </c>
      <c r="C17" s="45">
        <f>SUM(C15,C16)</f>
        <v/>
      </c>
      <c r="D17" s="46">
        <f>IF('2_Assumptions'!C7=0,"",C17/'2_Assumptions'!C7)</f>
        <v/>
      </c>
      <c r="E17" s="51" t="inlineStr"/>
      <c r="F17" s="51" t="inlineStr"/>
      <c r="G17" s="4" t="inlineStr"/>
    </row>
    <row r="18" ht="16" customHeight="1">
      <c r="B18" s="41" t="inlineStr">
        <is>
          <t>EQUITY — THIRD POSITION (At-Risk Capital)</t>
        </is>
      </c>
    </row>
    <row r="19" ht="16" customHeight="1">
      <c r="B19" s="42" t="inlineStr">
        <is>
          <t>Equity Investor Pool (Class A Members)</t>
        </is>
      </c>
      <c r="C19" s="11">
        <f>'2_Assumptions'!C12</f>
        <v/>
      </c>
      <c r="D19" s="43">
        <f>IF('2_Assumptions'!C7=0,"",C19/'2_Assumptions'!C7)</f>
        <v/>
      </c>
      <c r="E19" s="50" t="inlineStr">
        <is>
          <t>3rd Position</t>
        </is>
      </c>
      <c r="F19" s="50" t="inlineStr">
        <is>
          <t>120% Hurdle + 50% Backend</t>
        </is>
      </c>
      <c r="G19" s="21" t="inlineStr">
        <is>
          <t>See Waterfall sheet for full return mechanics</t>
        </is>
      </c>
    </row>
    <row r="20" ht="16" customHeight="1">
      <c r="B20" s="42" t="inlineStr">
        <is>
          <t>Producer Deferred / Equity (Class B)</t>
        </is>
      </c>
      <c r="C20" s="35" t="n">
        <v>0</v>
      </c>
      <c r="D20" s="43">
        <f>IF('2_Assumptions'!C7=0,"",C20/'2_Assumptions'!C7)</f>
        <v/>
      </c>
      <c r="E20" s="50" t="inlineStr">
        <is>
          <t>3rd Position</t>
        </is>
      </c>
      <c r="F20" s="50" t="inlineStr">
        <is>
          <t>Backend only</t>
        </is>
      </c>
      <c r="G20" s="21" t="inlineStr">
        <is>
          <t>Deferred fee converted to equity at close</t>
        </is>
      </c>
    </row>
    <row r="21" ht="16" customHeight="1">
      <c r="B21" s="4" t="inlineStr">
        <is>
          <t>EQUITY SUBTOTAL</t>
        </is>
      </c>
      <c r="C21" s="45">
        <f>SUM(C19,C20)</f>
        <v/>
      </c>
      <c r="D21" s="46">
        <f>IF('2_Assumptions'!C7=0,"",C21/'2_Assumptions'!C7)</f>
        <v/>
      </c>
      <c r="E21" s="51" t="inlineStr"/>
      <c r="F21" s="51" t="inlineStr"/>
      <c r="G21" s="4" t="inlineStr"/>
    </row>
    <row r="22" ht="16" customHeight="1">
      <c r="B22" s="8" t="inlineStr">
        <is>
          <t>TOTAL FINANCING</t>
        </is>
      </c>
      <c r="C22" s="47">
        <f>SUM(C8,C13,C17,C21)</f>
        <v/>
      </c>
      <c r="D22" s="48">
        <f>IF('2_Assumptions'!C7=0,"",C22/'2_Assumptions'!C7)</f>
        <v/>
      </c>
      <c r="E22" s="53" t="inlineStr"/>
      <c r="F22" s="53" t="inlineStr"/>
      <c r="G22" s="8" t="inlineStr">
        <is>
          <t>Must equal Total Production Budget on Assumptions sheet</t>
        </is>
      </c>
    </row>
    <row r="24" ht="22" customHeight="1">
      <c r="B24" s="54">
        <f>IF(ABS(C22-'2_Assumptions'!C7)&lt;1,"✓  Capital stack balances to budget","⚠  MISMATCH — stack $"&amp;TEXT(C22,"#,##0")&amp;" vs budget $"&amp;TEXT('2_Assumptions'!C7,"#,##0"))</f>
        <v/>
      </c>
    </row>
    <row r="26" ht="18" customHeight="1">
      <c r="B26" s="7" t="inlineStr">
        <is>
          <t xml:space="preserve">  INVESTOR TERMS AT A GLANCE</t>
        </is>
      </c>
    </row>
    <row r="27" ht="16" customHeight="1">
      <c r="B27" s="4" t="inlineStr">
        <is>
          <t>Investment Vehicle</t>
        </is>
      </c>
      <c r="C27" s="55">
        <f>'2_Assumptions'!C33</f>
        <v/>
      </c>
    </row>
    <row r="28" ht="16" customHeight="1">
      <c r="B28" s="10" t="inlineStr">
        <is>
          <t>Total Equity Raising</t>
        </is>
      </c>
      <c r="C28" s="56">
        <f>'2_Assumptions'!C12</f>
        <v/>
      </c>
    </row>
    <row r="29" ht="16" customHeight="1">
      <c r="B29" s="4" t="inlineStr">
        <is>
          <t>Min. Investment</t>
        </is>
      </c>
      <c r="C29" s="57">
        <f>'2_Assumptions'!C14</f>
        <v/>
      </c>
    </row>
    <row r="30" ht="16" customHeight="1">
      <c r="B30" s="10" t="inlineStr">
        <is>
          <t>Investor Class</t>
        </is>
      </c>
      <c r="C30" s="58" t="inlineStr">
        <is>
          <t>Class A Limited Members</t>
        </is>
      </c>
    </row>
    <row r="31" ht="16" customHeight="1">
      <c r="B31" s="4" t="inlineStr">
        <is>
          <t>Recoupment Priority</t>
        </is>
      </c>
      <c r="C31" s="59" t="inlineStr">
        <is>
          <t>First from Net Producer Proceeds</t>
        </is>
      </c>
    </row>
    <row r="32" ht="16" customHeight="1">
      <c r="B32" s="10" t="inlineStr">
        <is>
          <t>Recoupment Premium</t>
        </is>
      </c>
      <c r="C32" s="60">
        <f>'2_Assumptions'!C17</f>
        <v/>
      </c>
    </row>
    <row r="33" ht="16" customHeight="1">
      <c r="B33" s="4" t="inlineStr">
        <is>
          <t>Backend — Investors</t>
        </is>
      </c>
      <c r="C33" s="61">
        <f>'2_Assumptions'!C18</f>
        <v/>
      </c>
    </row>
    <row r="34" ht="16" customHeight="1">
      <c r="B34" s="10" t="inlineStr">
        <is>
          <t>Backend — Producer</t>
        </is>
      </c>
      <c r="C34" s="60">
        <f>'2_Assumptions'!C19</f>
        <v/>
      </c>
    </row>
    <row r="35" ht="16" customHeight="1">
      <c r="B35" s="4" t="inlineStr">
        <is>
          <t>Raise Close Target</t>
        </is>
      </c>
      <c r="C35" s="55">
        <f>'2_Assumptions'!C32</f>
        <v/>
      </c>
    </row>
    <row r="36" ht="16" customHeight="1">
      <c r="B36" s="10" t="inlineStr">
        <is>
          <t>Legal Exemption</t>
        </is>
      </c>
      <c r="C36" s="62">
        <f>'2_Assumptions'!C34</f>
        <v/>
      </c>
    </row>
  </sheetData>
  <mergeCells count="17">
    <mergeCell ref="B24:G24"/>
    <mergeCell ref="B2:G2"/>
    <mergeCell ref="C29:G29"/>
    <mergeCell ref="C30:G30"/>
    <mergeCell ref="C35:G35"/>
    <mergeCell ref="C34:G34"/>
    <mergeCell ref="B14:G14"/>
    <mergeCell ref="C32:G32"/>
    <mergeCell ref="B9:G9"/>
    <mergeCell ref="C28:G28"/>
    <mergeCell ref="C33:G33"/>
    <mergeCell ref="C27:G27"/>
    <mergeCell ref="B4:G4"/>
    <mergeCell ref="B26:G26"/>
    <mergeCell ref="B18:G18"/>
    <mergeCell ref="C31:G31"/>
    <mergeCell ref="C36:G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0" customWidth="1" min="3" max="3"/>
    <col width="20" customWidth="1" min="4" max="4"/>
    <col width="32" customWidth="1" min="5" max="5"/>
  </cols>
  <sheetData>
    <row r="2" ht="20" customHeight="1">
      <c r="B2" s="3" t="inlineStr">
        <is>
          <t xml:space="preserve">  REVENUE WATERFALL &amp; INVESTOR RETURN CALCULATOR  |  Change C4 to run scenarios</t>
        </is>
      </c>
    </row>
    <row r="3" ht="16" customHeight="1">
      <c r="B3" s="17" t="inlineStr">
        <is>
          <t xml:space="preserve">  GROSS REVENUE INPUT  —  Linked from Revenue Model Base Case; override here to run scenarios</t>
        </is>
      </c>
    </row>
    <row r="4" ht="18" customHeight="1">
      <c r="B4" s="26" t="inlineStr">
        <is>
          <t>Total Gross Revenue — All Windows, All Years</t>
        </is>
      </c>
      <c r="C4" s="63" t="n">
        <v>3500000</v>
      </c>
      <c r="D4" s="31" t="inlineStr">
        <is>
          <t>Scenario revenue input — change to model different outcomes</t>
        </is>
      </c>
    </row>
    <row r="5" ht="8" customHeight="1"/>
    <row r="6" ht="18" customHeight="1">
      <c r="B6" s="3" t="inlineStr">
        <is>
          <t>Waterfall Step</t>
        </is>
      </c>
      <c r="C6" s="29" t="inlineStr">
        <is>
          <t>Amount ($)</t>
        </is>
      </c>
      <c r="D6" s="29" t="inlineStr">
        <is>
          <t>Running Balance ($)</t>
        </is>
      </c>
      <c r="E6" s="29" t="inlineStr">
        <is>
          <t>Explanation</t>
        </is>
      </c>
    </row>
    <row r="7" ht="18" customHeight="1">
      <c r="B7" s="4" t="inlineStr">
        <is>
          <t>① Gross Revenue (All Windows)</t>
        </is>
      </c>
      <c r="C7" s="36">
        <f>C4</f>
        <v/>
      </c>
      <c r="D7" s="36">
        <f>SUM(C7:C7)</f>
        <v/>
      </c>
      <c r="E7" s="64" t="inlineStr">
        <is>
          <t>Total revenue across all distribution windows and years</t>
        </is>
      </c>
    </row>
    <row r="8" ht="18" customHeight="1">
      <c r="B8" s="21" t="inlineStr">
        <is>
          <t>② Less: Exhibitor / Theater Take</t>
        </is>
      </c>
      <c r="C8" s="44">
        <f>-C4*'2_Assumptions'!C25</f>
        <v/>
      </c>
      <c r="D8" s="44">
        <f>SUM(C7:C8)</f>
        <v/>
      </c>
      <c r="E8" s="31" t="inlineStr">
        <is>
          <t>Theaters retain ~50% of theatrical gross</t>
        </is>
      </c>
    </row>
    <row r="9" ht="18" customHeight="1">
      <c r="B9" s="4" t="inlineStr">
        <is>
          <t>③ Film Rental (Net of Exhibitor)</t>
        </is>
      </c>
      <c r="C9" s="36">
        <f>C4*(1-'2_Assumptions'!C25)</f>
        <v/>
      </c>
      <c r="D9" s="36">
        <f>SUM(C7:C9)</f>
        <v/>
      </c>
      <c r="E9" s="64" t="inlineStr">
        <is>
          <t>Revenue after theater split; enters distribution</t>
        </is>
      </c>
    </row>
    <row r="10" ht="18" customHeight="1">
      <c r="B10" s="21" t="inlineStr">
        <is>
          <t>④ Less: P&amp;A / Distribution Costs</t>
        </is>
      </c>
      <c r="C10" s="44">
        <f>-'2_Assumptions'!C26</f>
        <v/>
      </c>
      <c r="D10" s="44">
        <f>SUM(C7:C10)</f>
        <v/>
      </c>
      <c r="E10" s="31" t="inlineStr">
        <is>
          <t>Distributor recoups prints, advertising, and marketing first</t>
        </is>
      </c>
    </row>
    <row r="11" ht="18" customHeight="1">
      <c r="B11" s="21" t="inlineStr">
        <is>
          <t>⑤ Less: Distribution Fee</t>
        </is>
      </c>
      <c r="C11" s="44">
        <f>-(C9-C10)*'2_Assumptions'!C27</f>
        <v/>
      </c>
      <c r="D11" s="44">
        <f>SUM(C7:C11)</f>
        <v/>
      </c>
      <c r="E11" s="31" t="inlineStr">
        <is>
          <t>Fee on net film rental (after P&amp;A); per distribution deal</t>
        </is>
      </c>
    </row>
    <row r="12" ht="18" customHeight="1">
      <c r="B12" s="21" t="inlineStr">
        <is>
          <t>⑥ Less: Sales Agent Commission</t>
        </is>
      </c>
      <c r="C12" s="44">
        <f>-C4*'2_Assumptions'!C28</f>
        <v/>
      </c>
      <c r="D12" s="44">
        <f>SUM(C7:C12)</f>
        <v/>
      </c>
      <c r="E12" s="31" t="inlineStr">
        <is>
          <t>Sales agent commission on gross foreign receipts</t>
        </is>
      </c>
    </row>
    <row r="13" ht="18" customHeight="1">
      <c r="B13" s="4" t="inlineStr">
        <is>
          <t>⑦ NET PRODUCER PROCEEDS</t>
        </is>
      </c>
      <c r="C13" s="36">
        <f>SUM(C7:C12)</f>
        <v/>
      </c>
      <c r="D13" s="36">
        <f>SUM(C7:C13)</f>
        <v/>
      </c>
      <c r="E13" s="64" t="inlineStr">
        <is>
          <t>Revenue reaching Production LLC — enters investor waterfall</t>
        </is>
      </c>
    </row>
    <row r="14" ht="18" customHeight="1">
      <c r="B14" s="21" t="inlineStr">
        <is>
          <t>⑧ Less: Senior Debt Repayment</t>
        </is>
      </c>
      <c r="C14" s="44">
        <f>-('2_Assumptions'!C9*(1+'2_Assumptions'!C20))</f>
        <v/>
      </c>
      <c r="D14" s="44">
        <f>SUM(C7:C14)</f>
        <v/>
      </c>
      <c r="E14" s="31" t="inlineStr">
        <is>
          <t>Tax credit loan principal + accrued interest</t>
        </is>
      </c>
    </row>
    <row r="15" ht="18" customHeight="1">
      <c r="B15" s="21" t="inlineStr">
        <is>
          <t>⑨ Less: Gap / Mezz Repayment</t>
        </is>
      </c>
      <c r="C15" s="44">
        <f>-('2_Assumptions'!C10*(1+'2_Assumptions'!C21))</f>
        <v/>
      </c>
      <c r="D15" s="44">
        <f>SUM(C7:C15)</f>
        <v/>
      </c>
      <c r="E15" s="31" t="inlineStr">
        <is>
          <t>Gap loan principal + interest; 0 if no gap financing used</t>
        </is>
      </c>
    </row>
    <row r="16" ht="18" customHeight="1">
      <c r="B16" s="4" t="inlineStr">
        <is>
          <t>⑩ AVAILABLE FOR EQUITY RECOUPMENT</t>
        </is>
      </c>
      <c r="C16" s="36">
        <f>C13+C14+C15</f>
        <v/>
      </c>
      <c r="D16" s="36">
        <f>SUM(C7:C16)</f>
        <v/>
      </c>
      <c r="E16" s="64" t="inlineStr">
        <is>
          <t>Remaining after all debt fully serviced</t>
        </is>
      </c>
    </row>
    <row r="17" ht="18" customHeight="1">
      <c r="B17" s="21" t="inlineStr">
        <is>
          <t>⑪ Investor Recoupment (Principal + Premium)</t>
        </is>
      </c>
      <c r="C17" s="44">
        <f>MIN(MAX(C16,0),'2_Assumptions'!C12*(1+'2_Assumptions'!C17))</f>
        <v/>
      </c>
      <c r="D17" s="44">
        <f>SUM(C7:C17)</f>
        <v/>
      </c>
      <c r="E17" s="31" t="inlineStr">
        <is>
          <t>Investors recover principal × (1 + premium); capped at available</t>
        </is>
      </c>
    </row>
    <row r="18" ht="18" customHeight="1">
      <c r="B18" s="4" t="inlineStr">
        <is>
          <t>⑫ REMAINING FOR PROFIT SPLIT</t>
        </is>
      </c>
      <c r="C18" s="36">
        <f>MAX(C16-ABS(C17),0)</f>
        <v/>
      </c>
      <c r="D18" s="36">
        <f>SUM(C7:C18)</f>
        <v/>
      </c>
      <c r="E18" s="64" t="inlineStr">
        <is>
          <t>Backend pool — flows only if recoupment fully achieved</t>
        </is>
      </c>
    </row>
    <row r="19" ht="18" customHeight="1">
      <c r="B19" s="21" t="inlineStr">
        <is>
          <t>⑬ Investor Backend</t>
        </is>
      </c>
      <c r="C19" s="44">
        <f>C18*'2_Assumptions'!C18</f>
        <v/>
      </c>
      <c r="D19" s="44">
        <f>SUM(C7:C19)</f>
        <v/>
      </c>
      <c r="E19" s="31" t="inlineStr">
        <is>
          <t>Investor pool's backend share of remaining proceeds</t>
        </is>
      </c>
    </row>
    <row r="20" ht="18" customHeight="1">
      <c r="B20" s="21" t="inlineStr">
        <is>
          <t>⑭ Producer / Filmmaker Backend</t>
        </is>
      </c>
      <c r="C20" s="44">
        <f>C18*'2_Assumptions'!C19</f>
        <v/>
      </c>
      <c r="D20" s="44">
        <f>SUM(C7:C20)</f>
        <v/>
      </c>
      <c r="E20" s="31" t="inlineStr">
        <is>
          <t>Producer's share; distributed to talent and creative team</t>
        </is>
      </c>
    </row>
    <row r="22" ht="10" customHeight="1"/>
    <row r="23" ht="18" customHeight="1">
      <c r="B23" s="7" t="inlineStr">
        <is>
          <t xml:space="preserve">  INVESTOR RETURN SUMMARY</t>
        </is>
      </c>
    </row>
    <row r="24" ht="16" customHeight="1">
      <c r="B24" s="33" t="inlineStr">
        <is>
          <t>Equity Invested</t>
        </is>
      </c>
      <c r="C24" s="36">
        <f>'2_Assumptions'!C12</f>
        <v/>
      </c>
      <c r="D24" s="65" t="inlineStr">
        <is>
          <t>Change C4 above to model different revenue scenarios</t>
        </is>
      </c>
    </row>
    <row r="25" ht="16" customHeight="1">
      <c r="B25" s="21" t="inlineStr">
        <is>
          <t>Investor Recoupment (incl. premium)</t>
        </is>
      </c>
      <c r="C25" s="44">
        <f>ABS(C17)</f>
        <v/>
      </c>
    </row>
    <row r="26" ht="16" customHeight="1">
      <c r="B26" s="33" t="inlineStr">
        <is>
          <t>Investor Backend</t>
        </is>
      </c>
      <c r="C26" s="36">
        <f>C19</f>
        <v/>
      </c>
    </row>
    <row r="27" ht="16" customHeight="1">
      <c r="B27" s="8" t="inlineStr">
        <is>
          <t>TOTAL INVESTOR RETURN ($)</t>
        </is>
      </c>
      <c r="C27" s="47">
        <f>ABS(C17)+C19</f>
        <v/>
      </c>
    </row>
    <row r="28" ht="16" customHeight="1">
      <c r="B28" s="8" t="inlineStr">
        <is>
          <t>Net Profit to Investor ($)</t>
        </is>
      </c>
      <c r="C28" s="47">
        <f>ABS(C17)+C19-'2_Assumptions'!C12</f>
        <v/>
      </c>
    </row>
    <row r="29" ht="16" customHeight="1">
      <c r="B29" s="8" t="inlineStr">
        <is>
          <t>Return Multiple (MOIC)</t>
        </is>
      </c>
      <c r="C29" s="66">
        <f>(ABS(C17)+C19)/'2_Assumptions'!C12</f>
        <v/>
      </c>
    </row>
    <row r="30" ht="16" customHeight="1">
      <c r="B30" s="8" t="inlineStr">
        <is>
          <t>Simple Cash-on-Cash ROI</t>
        </is>
      </c>
      <c r="C30" s="67">
        <f>(ABS(C17)+C19-'2_Assumptions'!C12)/'2_Assumptions'!C12</f>
        <v/>
      </c>
    </row>
    <row r="31" ht="16" customHeight="1">
      <c r="B31" s="21" t="inlineStr">
        <is>
          <t>Producer Net Proceeds</t>
        </is>
      </c>
      <c r="C31" s="44">
        <f>C20</f>
        <v/>
      </c>
    </row>
    <row r="32" ht="16" customHeight="1">
      <c r="B32" s="33" t="inlineStr">
        <is>
          <t>Breakeven Gross Revenue</t>
        </is>
      </c>
      <c r="C32" s="36">
        <f>('2_Assumptions'!C12*(1+'2_Assumptions'!C17)+'2_Assumptions'!C9*(1+'2_Assumptions'!C20)+'2_Assumptions'!C26+C4*'2_Assumptions'!C28)/((1-'2_Assumptions'!C25)*(1-'2_Assumptions'!C27))</f>
        <v/>
      </c>
    </row>
    <row r="34" ht="28" customHeight="1">
      <c r="B34" s="27" t="inlineStr">
        <is>
          <t>NOTE: Simple ROI does not account for time value of money. IRR will be materially lower over 18-36 month hold periods. Waterfall assumes full recoupment before backend flows; if recoupment not achieved, investors receive available balance only.</t>
        </is>
      </c>
    </row>
  </sheetData>
  <mergeCells count="13">
    <mergeCell ref="D25:E25"/>
    <mergeCell ref="B23:E23"/>
    <mergeCell ref="D24:E24"/>
    <mergeCell ref="D30:E30"/>
    <mergeCell ref="D29:E29"/>
    <mergeCell ref="D27:E27"/>
    <mergeCell ref="D28:E28"/>
    <mergeCell ref="D32:E32"/>
    <mergeCell ref="B3:E3"/>
    <mergeCell ref="B2:E2"/>
    <mergeCell ref="B34:E34"/>
    <mergeCell ref="D31:E31"/>
    <mergeCell ref="D26:E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5" customWidth="1" min="3" max="3"/>
    <col width="15" customWidth="1" min="4" max="4"/>
    <col width="15" customWidth="1" min="5" max="5"/>
    <col width="38" customWidth="1" min="6" max="6"/>
  </cols>
  <sheetData>
    <row r="2" ht="20" customHeight="1">
      <c r="B2" s="3" t="inlineStr">
        <is>
          <t xml:space="preserve">  REVENUE MODEL  —  Distribution Windows  |  Conservative / Base / Upside Scenarios</t>
        </is>
      </c>
    </row>
    <row r="3" ht="18" customHeight="1">
      <c r="B3" s="3" t="inlineStr">
        <is>
          <t>Revenue Stream / Window</t>
        </is>
      </c>
      <c r="C3" s="29" t="inlineStr">
        <is>
          <t>Conservative ($)</t>
        </is>
      </c>
      <c r="D3" s="29" t="inlineStr">
        <is>
          <t>Base ($)</t>
        </is>
      </c>
      <c r="E3" s="29" t="inlineStr">
        <is>
          <t>Upside ($)</t>
        </is>
      </c>
      <c r="F3" s="29" t="inlineStr">
        <is>
          <t>Key Assumptions &amp; Drivers</t>
        </is>
      </c>
    </row>
    <row r="4" ht="16" customHeight="1">
      <c r="B4" s="41" t="inlineStr">
        <is>
          <t>THEATRICAL — DOMESTIC</t>
        </is>
      </c>
    </row>
    <row r="5" ht="16" customHeight="1">
      <c r="B5" s="42" t="inlineStr">
        <is>
          <t>Gross Box Office</t>
        </is>
      </c>
      <c r="C5" s="34" t="n">
        <v>800000</v>
      </c>
      <c r="D5" s="34" t="n">
        <v>1800000</v>
      </c>
      <c r="E5" s="34" t="n">
        <v>5000000</v>
      </c>
      <c r="F5" s="31" t="inlineStr">
        <is>
          <t>Platform/limited release. Wide = much higher P&amp;A ($1M+). Rare for $2M budget films.</t>
        </is>
      </c>
    </row>
    <row r="6" ht="16" customHeight="1">
      <c r="B6" s="4" t="inlineStr">
        <is>
          <t>Less: Exhibitor Take (50%)</t>
        </is>
      </c>
      <c r="C6" s="36">
        <f>-C5*'2_Assumptions'!C25</f>
        <v/>
      </c>
      <c r="D6" s="36">
        <f>-D5*'2_Assumptions'!C25</f>
        <v/>
      </c>
      <c r="E6" s="36">
        <f>-E5*'2_Assumptions'!C25</f>
        <v/>
      </c>
      <c r="F6" s="31" t="inlineStr">
        <is>
          <t>Calculated from Assumptions (C25); ~50-55% to theaters</t>
        </is>
      </c>
    </row>
    <row r="7" ht="16" customHeight="1">
      <c r="B7" s="4" t="inlineStr">
        <is>
          <t>Less: P&amp;A / Marketing Recoupment</t>
        </is>
      </c>
      <c r="C7" s="36">
        <f>-'2_Assumptions'!C26</f>
        <v/>
      </c>
      <c r="D7" s="36">
        <f>-'2_Assumptions'!C26</f>
        <v/>
      </c>
      <c r="E7" s="36">
        <f>-'2_Assumptions'!C26</f>
        <v/>
      </c>
      <c r="F7" s="31" t="inlineStr">
        <is>
          <t>From Assumptions C26; recouped off the top before fees</t>
        </is>
      </c>
    </row>
    <row r="8" ht="16" customHeight="1">
      <c r="B8" s="4" t="inlineStr">
        <is>
          <t>Less: Distribution Fee</t>
        </is>
      </c>
      <c r="C8" s="36">
        <f>-(C5*(1-'2_Assumptions'!C25)-'2_Assumptions'!C26)*'2_Assumptions'!C27</f>
        <v/>
      </c>
      <c r="D8" s="36">
        <f>-(D5*(1-'2_Assumptions'!C25)-'2_Assumptions'!C26)*'2_Assumptions'!C27</f>
        <v/>
      </c>
      <c r="E8" s="36">
        <f>-(E5*(1-'2_Assumptions'!C25)-'2_Assumptions'!C26)*'2_Assumptions'!C27</f>
        <v/>
      </c>
      <c r="F8" s="31" t="inlineStr">
        <is>
          <t>On net film rental after P&amp;A; from Assumptions C27</t>
        </is>
      </c>
    </row>
    <row r="9" ht="16" customHeight="1">
      <c r="B9" s="4" t="inlineStr">
        <is>
          <t>Domestic Theatrical NET</t>
        </is>
      </c>
      <c r="C9" s="45">
        <f>C5+C6+C7+C8</f>
        <v/>
      </c>
      <c r="D9" s="45">
        <f>D5+D6+D7+D8</f>
        <v/>
      </c>
      <c r="E9" s="45">
        <f>E5+E6+E7+E8</f>
        <v/>
      </c>
      <c r="F9" s="31" t="inlineStr">
        <is>
          <t>Net proceeds flowing to LLC from theatrical</t>
        </is>
      </c>
    </row>
    <row r="10" ht="16" customHeight="1">
      <c r="B10" s="41" t="inlineStr">
        <is>
          <t>INTERNATIONAL SALES</t>
        </is>
      </c>
    </row>
    <row r="11" ht="16" customHeight="1">
      <c r="B11" s="42" t="inlineStr">
        <is>
          <t>International MGs (pre-sold)</t>
        </is>
      </c>
      <c r="C11" s="34" t="n">
        <v>50000</v>
      </c>
      <c r="D11" s="34" t="n">
        <v>150000</v>
      </c>
      <c r="E11" s="34" t="n">
        <v>500000</v>
      </c>
      <c r="F11" s="31" t="inlineStr">
        <is>
          <t>Minimum guarantees from intl distributors via sales agent</t>
        </is>
      </c>
    </row>
    <row r="12" ht="16" customHeight="1">
      <c r="B12" s="42" t="inlineStr">
        <is>
          <t>Foreign Sales Overages</t>
        </is>
      </c>
      <c r="C12" s="35" t="n">
        <v>0</v>
      </c>
      <c r="D12" s="34" t="n">
        <v>50000</v>
      </c>
      <c r="E12" s="34" t="n">
        <v>200000</v>
      </c>
      <c r="F12" s="31" t="inlineStr">
        <is>
          <t>Overage above MG; only when film overperforms in territory</t>
        </is>
      </c>
    </row>
    <row r="13" ht="16" customHeight="1">
      <c r="B13" s="4" t="inlineStr">
        <is>
          <t>Less: Sales Agent Commission</t>
        </is>
      </c>
      <c r="C13" s="36">
        <f>-SUM(C11,C12)*'2_Assumptions'!C28</f>
        <v/>
      </c>
      <c r="D13" s="36">
        <f>-SUM(D11,D12)*'2_Assumptions'!C28</f>
        <v/>
      </c>
      <c r="E13" s="36">
        <f>-SUM(E11,E12)*'2_Assumptions'!C28</f>
        <v/>
      </c>
      <c r="F13" s="31" t="inlineStr">
        <is>
          <t>From Assumptions C28; ~12% of gross intl receipts</t>
        </is>
      </c>
    </row>
    <row r="14" ht="16" customHeight="1">
      <c r="B14" s="4" t="inlineStr">
        <is>
          <t>International NET</t>
        </is>
      </c>
      <c r="C14" s="45">
        <f>C11+C12+C13</f>
        <v/>
      </c>
      <c r="D14" s="45">
        <f>D11+D12+D13</f>
        <v/>
      </c>
      <c r="E14" s="45">
        <f>E11+E12+E13</f>
        <v/>
      </c>
      <c r="F14" s="31" t="inlineStr">
        <is>
          <t>Net international proceeds to LLC</t>
        </is>
      </c>
    </row>
    <row r="15" ht="16" customHeight="1">
      <c r="B15" s="41" t="inlineStr">
        <is>
          <t>STREAMING — SVOD</t>
        </is>
      </c>
    </row>
    <row r="16" ht="16" customHeight="1">
      <c r="B16" s="42" t="inlineStr">
        <is>
          <t>SVOD License Fee (Netflix / Prime / MUBI)</t>
        </is>
      </c>
      <c r="C16" s="34" t="n">
        <v>75000</v>
      </c>
      <c r="D16" s="34" t="n">
        <v>300000</v>
      </c>
      <c r="E16" s="34" t="n">
        <v>1500000</v>
      </c>
      <c r="F16" s="31" t="inlineStr">
        <is>
          <t>Festival acquisition flat fee. Softening 2025-26 market. Star-driven premium.</t>
        </is>
      </c>
    </row>
    <row r="17" ht="16" customHeight="1">
      <c r="B17" s="41" t="inlineStr">
        <is>
          <t>STREAMING — TVOD (Transactional)</t>
        </is>
      </c>
    </row>
    <row r="18" ht="16" customHeight="1">
      <c r="B18" s="42" t="inlineStr">
        <is>
          <t>TVOD Rental/Purchase (Apple, Amazon, Vudu)</t>
        </is>
      </c>
      <c r="C18" s="34" t="n">
        <v>6000</v>
      </c>
      <c r="D18" s="34" t="n">
        <v>25000</v>
      </c>
      <c r="E18" s="34" t="n">
        <v>90000</v>
      </c>
      <c r="F18" s="31" t="inlineStr">
        <is>
          <t>Avg indie ~$4-8K; breakout genre hits can reach $50-100K.</t>
        </is>
      </c>
    </row>
    <row r="19" ht="16" customHeight="1">
      <c r="B19" s="41" t="inlineStr">
        <is>
          <t>STREAMING — AVOD / FAST</t>
        </is>
      </c>
    </row>
    <row r="20" ht="16" customHeight="1">
      <c r="B20" s="42" t="inlineStr">
        <is>
          <t>AVOD / FAST Revenue (Tubi, Pluto, Roku)</t>
        </is>
      </c>
      <c r="C20" s="34" t="n">
        <v>4000</v>
      </c>
      <c r="D20" s="34" t="n">
        <v>15000</v>
      </c>
      <c r="E20" s="34" t="n">
        <v>55000</v>
      </c>
      <c r="F20" s="31" t="inlineStr">
        <is>
          <t>Ad-share revenue; low per-title but recurring library value</t>
        </is>
      </c>
    </row>
    <row r="21" ht="16" customHeight="1">
      <c r="B21" s="41" t="inlineStr">
        <is>
          <t>TELEVISION</t>
        </is>
      </c>
    </row>
    <row r="22" ht="16" customHeight="1">
      <c r="B22" s="42" t="inlineStr">
        <is>
          <t>Domestic TV (Cable / PBS / Premium)</t>
        </is>
      </c>
      <c r="C22" s="34" t="n">
        <v>20000</v>
      </c>
      <c r="D22" s="34" t="n">
        <v>75000</v>
      </c>
      <c r="E22" s="34" t="n">
        <v>300000</v>
      </c>
      <c r="F22" s="31" t="inlineStr">
        <is>
          <t>Depends heavily on genre; premium cable for drama/thriller</t>
        </is>
      </c>
    </row>
    <row r="23" ht="16" customHeight="1">
      <c r="B23" s="42" t="inlineStr">
        <is>
          <t>International TV (via sales agent)</t>
        </is>
      </c>
      <c r="C23" s="34" t="n">
        <v>10000</v>
      </c>
      <c r="D23" s="34" t="n">
        <v>50000</v>
      </c>
      <c r="E23" s="34" t="n">
        <v>200000</v>
      </c>
      <c r="F23" s="31" t="inlineStr">
        <is>
          <t>Territory-by-territory license fees; managed via sales agent</t>
        </is>
      </c>
    </row>
    <row r="24" ht="16" customHeight="1">
      <c r="B24" s="41" t="inlineStr">
        <is>
          <t>ANCILLARY</t>
        </is>
      </c>
    </row>
    <row r="25" ht="16" customHeight="1">
      <c r="B25" s="42" t="inlineStr">
        <is>
          <t>Educational / Non-Theatrical</t>
        </is>
      </c>
      <c r="C25" s="34" t="n">
        <v>5000</v>
      </c>
      <c r="D25" s="34" t="n">
        <v>15000</v>
      </c>
      <c r="E25" s="34" t="n">
        <v>50000</v>
      </c>
      <c r="F25" s="31" t="inlineStr">
        <is>
          <t>Universities, libraries, airlines; modest but recurring</t>
        </is>
      </c>
    </row>
    <row r="26" ht="16" customHeight="1">
      <c r="B26" s="42" t="inlineStr">
        <is>
          <t>Soundtrack / Merchandise</t>
        </is>
      </c>
      <c r="C26" s="35" t="n">
        <v>0</v>
      </c>
      <c r="D26" s="34" t="n">
        <v>5000</v>
      </c>
      <c r="E26" s="34" t="n">
        <v>25000</v>
      </c>
      <c r="F26" s="31" t="inlineStr">
        <is>
          <t>Only material for music-driven or franchise-adjacent titles</t>
        </is>
      </c>
    </row>
    <row r="27" ht="16" customHeight="1">
      <c r="B27" s="41" t="inlineStr">
        <is>
          <t>TAX INCENTIVE</t>
        </is>
      </c>
    </row>
    <row r="28" ht="16" customHeight="1">
      <c r="B28" s="4" t="inlineStr">
        <is>
          <t>State Tax Credit / Production Rebate</t>
        </is>
      </c>
      <c r="C28" s="13">
        <f>'2_Assumptions'!C8</f>
        <v/>
      </c>
      <c r="D28" s="13">
        <f>'2_Assumptions'!C8</f>
        <v/>
      </c>
      <c r="E28" s="13">
        <f>'2_Assumptions'!C8</f>
        <v/>
      </c>
      <c r="F28" s="31" t="inlineStr">
        <is>
          <t>From Assumptions sheet; same across all scenarios</t>
        </is>
      </c>
    </row>
    <row r="29" ht="16" customHeight="1">
      <c r="B29" s="8" t="inlineStr">
        <is>
          <t>TOTAL GROSS REVENUE — ALL WINDOWS</t>
        </is>
      </c>
      <c r="C29" s="47">
        <f>SUM(C5,C9,C11,C12,C14,C16,C18,C20,C22,C23,C25,C26,C28)</f>
        <v/>
      </c>
      <c r="D29" s="47">
        <f>SUM(D5,D9,D11,D12,D14,D16,D18,D20,D22,D23,D25,D26,D28)</f>
        <v/>
      </c>
      <c r="E29" s="47">
        <f>SUM(E5,E9,E11,E12,E14,E16,E18,E20,E22,E23,E25,E26,E28)</f>
        <v/>
      </c>
      <c r="F29" s="31" t="inlineStr">
        <is>
          <t>Sum of all distribution windows + tax credit</t>
        </is>
      </c>
    </row>
    <row r="33">
      <c r="B33" t="inlineStr">
        <is>
          <t>Conservative</t>
        </is>
      </c>
      <c r="C33" s="49">
        <f>C29</f>
        <v/>
      </c>
    </row>
    <row r="34">
      <c r="B34" t="inlineStr">
        <is>
          <t>Base</t>
        </is>
      </c>
      <c r="C34" s="49">
        <f>D29</f>
        <v/>
      </c>
    </row>
    <row r="35">
      <c r="B35" t="inlineStr">
        <is>
          <t>Upside</t>
        </is>
      </c>
      <c r="C35" s="49">
        <f>E29</f>
        <v/>
      </c>
    </row>
  </sheetData>
  <mergeCells count="9">
    <mergeCell ref="B4:F4"/>
    <mergeCell ref="B21:F21"/>
    <mergeCell ref="B24:F24"/>
    <mergeCell ref="B2:F2"/>
    <mergeCell ref="B15:F15"/>
    <mergeCell ref="B10:F10"/>
    <mergeCell ref="B19:F19"/>
    <mergeCell ref="B17:F17"/>
    <mergeCell ref="B27:F2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P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2" ht="20" customHeight="1">
      <c r="B2" s="3" t="inlineStr">
        <is>
          <t xml:space="preserve">  MONTHLY CASH FLOW  —  Investment through Production to Distribution Proceeds</t>
        </is>
      </c>
    </row>
    <row r="3" ht="16" customHeight="1">
      <c r="C3" s="17" t="inlineStr">
        <is>
          <t xml:space="preserve">  ← Pre-Production  ──────  Production  ─────────  Post-Production  ──────────────  Distribution  ──────────────────────  →</t>
        </is>
      </c>
    </row>
    <row r="4" ht="18" customHeight="1">
      <c r="B4" s="3" t="inlineStr">
        <is>
          <t>Cash Flow Category</t>
        </is>
      </c>
      <c r="C4" s="29" t="inlineStr">
        <is>
          <t>Mo 1</t>
        </is>
      </c>
      <c r="D4" s="29" t="inlineStr">
        <is>
          <t>Mo 2</t>
        </is>
      </c>
      <c r="E4" s="29" t="inlineStr">
        <is>
          <t>Mo 3</t>
        </is>
      </c>
      <c r="F4" s="29" t="inlineStr">
        <is>
          <t>Mo 4</t>
        </is>
      </c>
      <c r="G4" s="29" t="inlineStr">
        <is>
          <t>Mo 5</t>
        </is>
      </c>
      <c r="H4" s="29" t="inlineStr">
        <is>
          <t>Mo 6</t>
        </is>
      </c>
      <c r="I4" s="29" t="inlineStr">
        <is>
          <t>Mo 7</t>
        </is>
      </c>
      <c r="J4" s="29" t="inlineStr">
        <is>
          <t>Mo 8</t>
        </is>
      </c>
      <c r="K4" s="29" t="inlineStr">
        <is>
          <t>Mo 9</t>
        </is>
      </c>
      <c r="L4" s="29" t="inlineStr">
        <is>
          <t>Mo 10</t>
        </is>
      </c>
      <c r="M4" s="29" t="inlineStr">
        <is>
          <t>Mo 11</t>
        </is>
      </c>
      <c r="N4" s="29" t="inlineStr">
        <is>
          <t>Mo 12</t>
        </is>
      </c>
      <c r="O4" s="29" t="inlineStr">
        <is>
          <t>Mo 18</t>
        </is>
      </c>
      <c r="P4" s="29" t="inlineStr">
        <is>
          <t>Mo 24+</t>
        </is>
      </c>
    </row>
    <row r="5" ht="16" customHeight="1">
      <c r="B5" s="41" t="inlineStr">
        <is>
          <t>CAPITAL INFLOWS</t>
        </is>
      </c>
    </row>
    <row r="6" ht="16" customHeight="1">
      <c r="B6" s="42" t="inlineStr">
        <is>
          <t>Equity Investment Draws</t>
        </is>
      </c>
      <c r="C6" s="35" t="n">
        <v>1040000</v>
      </c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</row>
    <row r="7" ht="16" customHeight="1">
      <c r="B7" s="42" t="inlineStr">
        <is>
          <t>Tax Credit Bridge Loan</t>
        </is>
      </c>
      <c r="C7" s="35" t="n">
        <v>360000</v>
      </c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</row>
    <row r="8" ht="16" customHeight="1">
      <c r="B8" s="42" t="inlineStr">
        <is>
          <t>Gap / Mezz Loan (if used)</t>
        </is>
      </c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</row>
    <row r="9" ht="16" customHeight="1">
      <c r="B9" s="4" t="inlineStr">
        <is>
          <t>TOTAL INFLOWS</t>
        </is>
      </c>
      <c r="C9" s="68">
        <f>SUM(C6,C7,C8)</f>
        <v/>
      </c>
      <c r="D9" s="68">
        <f>SUM(D6,D7,D8)</f>
        <v/>
      </c>
      <c r="E9" s="68">
        <f>SUM(E6,E7,E8)</f>
        <v/>
      </c>
      <c r="F9" s="68">
        <f>SUM(F6,F7,F8)</f>
        <v/>
      </c>
      <c r="G9" s="68">
        <f>SUM(G6,G7,G8)</f>
        <v/>
      </c>
      <c r="H9" s="68">
        <f>SUM(H6,H7,H8)</f>
        <v/>
      </c>
      <c r="I9" s="68">
        <f>SUM(I6,I7,I8)</f>
        <v/>
      </c>
      <c r="J9" s="68">
        <f>SUM(J6,J7,J8)</f>
        <v/>
      </c>
      <c r="K9" s="68">
        <f>SUM(K6,K7,K8)</f>
        <v/>
      </c>
      <c r="L9" s="68">
        <f>SUM(L6,L7,L8)</f>
        <v/>
      </c>
      <c r="M9" s="68">
        <f>SUM(M6,M7,M8)</f>
        <v/>
      </c>
      <c r="N9" s="68">
        <f>SUM(N6,N7,N8)</f>
        <v/>
      </c>
      <c r="O9" s="68">
        <f>SUM(O6,O7,O8)</f>
        <v/>
      </c>
      <c r="P9" s="68">
        <f>SUM(P6,P7,P8)</f>
        <v/>
      </c>
    </row>
    <row r="10" ht="16" customHeight="1">
      <c r="B10" s="41" t="inlineStr">
        <is>
          <t>PRODUCTION EXPENDITURES</t>
        </is>
      </c>
    </row>
    <row r="11" ht="16" customHeight="1">
      <c r="B11" s="42" t="inlineStr">
        <is>
          <t>Pre-Production (dev, prep, legal)</t>
        </is>
      </c>
      <c r="C11" s="35" t="n">
        <v>80000</v>
      </c>
      <c r="D11" s="35" t="n">
        <v>120000</v>
      </c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</row>
    <row r="12" ht="16" customHeight="1">
      <c r="B12" s="42" t="inlineStr">
        <is>
          <t>Principal Photography</t>
        </is>
      </c>
      <c r="C12" s="35" t="n"/>
      <c r="D12" s="35" t="n"/>
      <c r="E12" s="35" t="n">
        <v>300000</v>
      </c>
      <c r="F12" s="35" t="n">
        <v>300000</v>
      </c>
      <c r="G12" s="35" t="n">
        <v>200000</v>
      </c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</row>
    <row r="13" ht="16" customHeight="1">
      <c r="B13" s="42" t="inlineStr">
        <is>
          <t>Post-Production</t>
        </is>
      </c>
      <c r="C13" s="35" t="n"/>
      <c r="D13" s="35" t="n"/>
      <c r="E13" s="35" t="n"/>
      <c r="F13" s="35" t="n"/>
      <c r="G13" s="35" t="n">
        <v>50000</v>
      </c>
      <c r="H13" s="35" t="n">
        <v>200000</v>
      </c>
      <c r="I13" s="35" t="n">
        <v>200000</v>
      </c>
      <c r="J13" s="35" t="n">
        <v>150000</v>
      </c>
      <c r="K13" s="35" t="n"/>
      <c r="L13" s="35" t="n"/>
      <c r="M13" s="35" t="n"/>
      <c r="N13" s="35" t="n"/>
      <c r="O13" s="35" t="n"/>
      <c r="P13" s="35" t="n"/>
    </row>
    <row r="14" ht="16" customHeight="1">
      <c r="B14" s="42" t="inlineStr">
        <is>
          <t>General &amp; Administrative (monthly)</t>
        </is>
      </c>
      <c r="C14" s="35" t="n">
        <v>15000</v>
      </c>
      <c r="D14" s="35" t="n">
        <v>15000</v>
      </c>
      <c r="E14" s="35" t="n">
        <v>15000</v>
      </c>
      <c r="F14" s="35" t="n">
        <v>15000</v>
      </c>
      <c r="G14" s="35" t="n">
        <v>15000</v>
      </c>
      <c r="H14" s="35" t="n">
        <v>15000</v>
      </c>
      <c r="I14" s="35" t="n">
        <v>15000</v>
      </c>
      <c r="J14" s="35" t="n">
        <v>15000</v>
      </c>
      <c r="K14" s="35" t="n">
        <v>5000</v>
      </c>
      <c r="L14" s="35" t="n">
        <v>5000</v>
      </c>
      <c r="M14" s="35" t="n"/>
      <c r="N14" s="35" t="n"/>
      <c r="O14" s="35" t="n"/>
      <c r="P14" s="35" t="n"/>
    </row>
    <row r="15" ht="16" customHeight="1">
      <c r="B15" s="42" t="inlineStr">
        <is>
          <t>Completion Bond &amp; Insurance (upfront)</t>
        </is>
      </c>
      <c r="C15" s="35" t="n">
        <v>87000</v>
      </c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</row>
    <row r="16" ht="16" customHeight="1">
      <c r="B16" s="4" t="inlineStr">
        <is>
          <t>TOTAL EXPENDITURES</t>
        </is>
      </c>
      <c r="C16" s="68">
        <f>-SUM(C11,C12,C13,C14,C15)</f>
        <v/>
      </c>
      <c r="D16" s="68">
        <f>-SUM(D11,D12,D13,D14,D15)</f>
        <v/>
      </c>
      <c r="E16" s="68">
        <f>-SUM(E11,E12,E13,E14,E15)</f>
        <v/>
      </c>
      <c r="F16" s="68">
        <f>-SUM(F11,F12,F13,F14,F15)</f>
        <v/>
      </c>
      <c r="G16" s="68">
        <f>-SUM(G11,G12,G13,G14,G15)</f>
        <v/>
      </c>
      <c r="H16" s="68">
        <f>-SUM(H11,H12,H13,H14,H15)</f>
        <v/>
      </c>
      <c r="I16" s="68">
        <f>-SUM(I11,I12,I13,I14,I15)</f>
        <v/>
      </c>
      <c r="J16" s="68">
        <f>-SUM(J11,J12,J13,J14,J15)</f>
        <v/>
      </c>
      <c r="K16" s="68">
        <f>-SUM(K11,K12,K13,K14,K15)</f>
        <v/>
      </c>
      <c r="L16" s="68">
        <f>-SUM(L11,L12,L13,L14,L15)</f>
        <v/>
      </c>
      <c r="M16" s="68">
        <f>-SUM(M11,M12,M13,M14,M15)</f>
        <v/>
      </c>
      <c r="N16" s="68">
        <f>-SUM(N11,N12,N13,N14,N15)</f>
        <v/>
      </c>
      <c r="O16" s="68">
        <f>-SUM(O11,O12,O13,O14,O15)</f>
        <v/>
      </c>
      <c r="P16" s="68">
        <f>-SUM(P11,P12,P13,P14,P15)</f>
        <v/>
      </c>
    </row>
    <row r="17" ht="16" customHeight="1">
      <c r="B17" s="41" t="inlineStr">
        <is>
          <t>DISTRIBUTION PROCEEDS</t>
        </is>
      </c>
    </row>
    <row r="18" ht="16" customHeight="1">
      <c r="B18" s="42" t="inlineStr">
        <is>
          <t>SVOD / Streaming License Fee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>
        <v>300000</v>
      </c>
      <c r="M18" s="35" t="n"/>
      <c r="N18" s="35" t="n"/>
      <c r="O18" s="35" t="n"/>
      <c r="P18" s="35" t="n"/>
    </row>
    <row r="19" ht="16" customHeight="1">
      <c r="B19" s="42" t="inlineStr">
        <is>
          <t>International MGs (on delivery)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>
        <v>150000</v>
      </c>
      <c r="L19" s="35" t="n"/>
      <c r="M19" s="35" t="n"/>
      <c r="N19" s="35" t="n"/>
      <c r="O19" s="35" t="n"/>
      <c r="P19" s="35" t="n"/>
    </row>
    <row r="20" ht="16" customHeight="1">
      <c r="B20" s="42" t="inlineStr">
        <is>
          <t>Theatrical Net Proceeds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>
        <v>100000</v>
      </c>
      <c r="M20" s="35" t="n">
        <v>200000</v>
      </c>
      <c r="N20" s="35" t="n">
        <v>100000</v>
      </c>
      <c r="O20" s="35" t="n"/>
      <c r="P20" s="35" t="n"/>
    </row>
    <row r="21" ht="16" customHeight="1">
      <c r="B21" s="42" t="inlineStr">
        <is>
          <t>State Tax Credit Receipt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>
        <v>400000</v>
      </c>
      <c r="L21" s="35" t="n"/>
      <c r="M21" s="35" t="n"/>
      <c r="N21" s="35" t="n"/>
      <c r="O21" s="35" t="n"/>
      <c r="P21" s="35" t="n"/>
    </row>
    <row r="22" ht="16" customHeight="1">
      <c r="B22" s="42" t="inlineStr">
        <is>
          <t>TVOD / AVOD / TV (ongoing)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>
        <v>10000</v>
      </c>
      <c r="N22" s="35" t="n">
        <v>15000</v>
      </c>
      <c r="O22" s="35" t="n">
        <v>20000</v>
      </c>
      <c r="P22" s="35" t="n">
        <v>30000</v>
      </c>
    </row>
    <row r="23" ht="16" customHeight="1">
      <c r="B23" s="4" t="inlineStr">
        <is>
          <t>TOTAL PROCEEDS</t>
        </is>
      </c>
      <c r="C23" s="68">
        <f>SUM(C18,C19,C20,C21,C22)</f>
        <v/>
      </c>
      <c r="D23" s="68">
        <f>SUM(D18,D19,D20,D21,D22)</f>
        <v/>
      </c>
      <c r="E23" s="68">
        <f>SUM(E18,E19,E20,E21,E22)</f>
        <v/>
      </c>
      <c r="F23" s="68">
        <f>SUM(F18,F19,F20,F21,F22)</f>
        <v/>
      </c>
      <c r="G23" s="68">
        <f>SUM(G18,G19,G20,G21,G22)</f>
        <v/>
      </c>
      <c r="H23" s="68">
        <f>SUM(H18,H19,H20,H21,H22)</f>
        <v/>
      </c>
      <c r="I23" s="68">
        <f>SUM(I18,I19,I20,I21,I22)</f>
        <v/>
      </c>
      <c r="J23" s="68">
        <f>SUM(J18,J19,J20,J21,J22)</f>
        <v/>
      </c>
      <c r="K23" s="68">
        <f>SUM(K18,K19,K20,K21,K22)</f>
        <v/>
      </c>
      <c r="L23" s="68">
        <f>SUM(L18,L19,L20,L21,L22)</f>
        <v/>
      </c>
      <c r="M23" s="68">
        <f>SUM(M18,M19,M20,M21,M22)</f>
        <v/>
      </c>
      <c r="N23" s="68">
        <f>SUM(N18,N19,N20,N21,N22)</f>
        <v/>
      </c>
      <c r="O23" s="68">
        <f>SUM(O18,O19,O20,O21,O22)</f>
        <v/>
      </c>
      <c r="P23" s="68">
        <f>SUM(P18,P19,P20,P21,P22)</f>
        <v/>
      </c>
    </row>
    <row r="24" ht="16" customHeight="1">
      <c r="B24" s="41" t="inlineStr">
        <is>
          <t>DEBT REPAYMENT</t>
        </is>
      </c>
    </row>
    <row r="25" ht="16" customHeight="1">
      <c r="B25" s="42" t="inlineStr">
        <is>
          <t>Tax Credit Bridge Loan Repayment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>
        <v>-392400</v>
      </c>
      <c r="L25" s="35" t="n"/>
      <c r="M25" s="35" t="n"/>
      <c r="N25" s="35" t="n"/>
      <c r="O25" s="35" t="n"/>
      <c r="P25" s="35" t="n"/>
    </row>
    <row r="26" ht="16" customHeight="1">
      <c r="B26" s="42" t="inlineStr">
        <is>
          <t>Gap Loan Repayment</t>
        </is>
      </c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</row>
    <row r="27" ht="16" customHeight="1">
      <c r="B27" s="4" t="inlineStr">
        <is>
          <t>TOTAL REPAYMENTS</t>
        </is>
      </c>
      <c r="C27" s="68">
        <f>SUM(C25,C26)</f>
        <v/>
      </c>
      <c r="D27" s="68">
        <f>SUM(D25,D26)</f>
        <v/>
      </c>
      <c r="E27" s="68">
        <f>SUM(E25,E26)</f>
        <v/>
      </c>
      <c r="F27" s="68">
        <f>SUM(F25,F26)</f>
        <v/>
      </c>
      <c r="G27" s="68">
        <f>SUM(G25,G26)</f>
        <v/>
      </c>
      <c r="H27" s="68">
        <f>SUM(H25,H26)</f>
        <v/>
      </c>
      <c r="I27" s="68">
        <f>SUM(I25,I26)</f>
        <v/>
      </c>
      <c r="J27" s="68">
        <f>SUM(J25,J26)</f>
        <v/>
      </c>
      <c r="K27" s="68">
        <f>SUM(K25,K26)</f>
        <v/>
      </c>
      <c r="L27" s="68">
        <f>SUM(L25,L26)</f>
        <v/>
      </c>
      <c r="M27" s="68">
        <f>SUM(M25,M26)</f>
        <v/>
      </c>
      <c r="N27" s="68">
        <f>SUM(N25,N26)</f>
        <v/>
      </c>
      <c r="O27" s="68">
        <f>SUM(O25,O26)</f>
        <v/>
      </c>
      <c r="P27" s="68">
        <f>SUM(P25,P26)</f>
        <v/>
      </c>
    </row>
    <row r="28" ht="16" customHeight="1">
      <c r="B28" s="8" t="inlineStr">
        <is>
          <t>NET CASH POSITION</t>
        </is>
      </c>
      <c r="C28" s="69">
        <f>SUM(C9,C23)+SUM(C16,C27)</f>
        <v/>
      </c>
      <c r="D28" s="69">
        <f>SUM(D9,D23)+SUM(D16,D27)</f>
        <v/>
      </c>
      <c r="E28" s="69">
        <f>SUM(E9,E23)+SUM(E16,E27)</f>
        <v/>
      </c>
      <c r="F28" s="69">
        <f>SUM(F9,F23)+SUM(F16,F27)</f>
        <v/>
      </c>
      <c r="G28" s="69">
        <f>SUM(G9,G23)+SUM(G16,G27)</f>
        <v/>
      </c>
      <c r="H28" s="69">
        <f>SUM(H9,H23)+SUM(H16,H27)</f>
        <v/>
      </c>
      <c r="I28" s="69">
        <f>SUM(I9,I23)+SUM(I16,I27)</f>
        <v/>
      </c>
      <c r="J28" s="69">
        <f>SUM(J9,J23)+SUM(J16,J27)</f>
        <v/>
      </c>
      <c r="K28" s="69">
        <f>SUM(K9,K23)+SUM(K16,K27)</f>
        <v/>
      </c>
      <c r="L28" s="69">
        <f>SUM(L9,L23)+SUM(L16,L27)</f>
        <v/>
      </c>
      <c r="M28" s="69">
        <f>SUM(M9,M23)+SUM(M16,M27)</f>
        <v/>
      </c>
      <c r="N28" s="69">
        <f>SUM(N9,N23)+SUM(N16,N27)</f>
        <v/>
      </c>
      <c r="O28" s="69">
        <f>SUM(O9,O23)+SUM(O16,O27)</f>
        <v/>
      </c>
      <c r="P28" s="69">
        <f>SUM(P9,P23)+SUM(P16,P27)</f>
        <v/>
      </c>
    </row>
    <row r="29" ht="16" customHeight="1">
      <c r="B29" s="8" t="inlineStr">
        <is>
          <t>CUMULATIVE CASH</t>
        </is>
      </c>
      <c r="C29" s="69">
        <f>C28</f>
        <v/>
      </c>
      <c r="D29" s="69">
        <f>C29+D28</f>
        <v/>
      </c>
      <c r="E29" s="69">
        <f>D29+E28</f>
        <v/>
      </c>
      <c r="F29" s="69">
        <f>E29+F28</f>
        <v/>
      </c>
      <c r="G29" s="69">
        <f>F29+G28</f>
        <v/>
      </c>
      <c r="H29" s="69">
        <f>G29+H28</f>
        <v/>
      </c>
      <c r="I29" s="69">
        <f>H29+I28</f>
        <v/>
      </c>
      <c r="J29" s="69">
        <f>I29+J28</f>
        <v/>
      </c>
      <c r="K29" s="69">
        <f>J29+K28</f>
        <v/>
      </c>
      <c r="L29" s="69">
        <f>K29+L28</f>
        <v/>
      </c>
      <c r="M29" s="69">
        <f>L29+M28</f>
        <v/>
      </c>
      <c r="N29" s="69">
        <f>M29+N28</f>
        <v/>
      </c>
      <c r="O29" s="69">
        <f>N29+O28</f>
        <v/>
      </c>
      <c r="P29" s="69">
        <f>O29+P28</f>
        <v/>
      </c>
    </row>
    <row r="31" ht="28" customHeight="1">
      <c r="B31" s="27" t="inlineStr">
        <is>
          <t>Note: Illustrative cash flow only. Actual deployment will vary based on production schedule, distribution deal timing, and loan draw terms. Negative values in expenditures = cash out; positive in proceeds = cash in.</t>
        </is>
      </c>
    </row>
  </sheetData>
  <mergeCells count="7">
    <mergeCell ref="C3:P3"/>
    <mergeCell ref="B24:P24"/>
    <mergeCell ref="B2:P2"/>
    <mergeCell ref="B10:P10"/>
    <mergeCell ref="B5:P5"/>
    <mergeCell ref="B31:P31"/>
    <mergeCell ref="B17:P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 ht="20" customHeight="1">
      <c r="B2" s="3" t="inlineStr">
        <is>
          <t xml:space="preserve">  SENSITIVITY ANALYSIS  —  ROI, MOIC &amp; Breakeven by Revenue Scenario</t>
        </is>
      </c>
    </row>
    <row r="4" ht="16" customHeight="1">
      <c r="B4" s="17" t="inlineStr">
        <is>
          <t xml:space="preserve">  TABLE 1 — Simple Cash-on-Cash ROI by Gross Revenue Scenario  (Base Distribution)</t>
        </is>
      </c>
    </row>
    <row r="5" ht="16" customHeight="1">
      <c r="B5" s="3" t="inlineStr">
        <is>
          <t>Equity Invested ↓ / Gross Revenue →</t>
        </is>
      </c>
      <c r="C5" s="28" t="inlineStr">
        <is>
          <t>$500K</t>
        </is>
      </c>
      <c r="D5" s="28" t="inlineStr">
        <is>
          <t>$1M</t>
        </is>
      </c>
      <c r="E5" s="28" t="inlineStr">
        <is>
          <t>$1.5M</t>
        </is>
      </c>
      <c r="F5" s="28" t="inlineStr">
        <is>
          <t>$2.5M</t>
        </is>
      </c>
      <c r="G5" s="28" t="inlineStr">
        <is>
          <t>$3.5M</t>
        </is>
      </c>
      <c r="H5" s="28" t="inlineStr">
        <is>
          <t>$5M</t>
        </is>
      </c>
    </row>
    <row r="6" ht="16" customHeight="1">
      <c r="B6" s="59" t="inlineStr">
        <is>
          <t>$600,000 equity</t>
        </is>
      </c>
      <c r="C6" s="70" t="n">
        <v>-1</v>
      </c>
      <c r="D6" s="70" t="n">
        <v>-1</v>
      </c>
      <c r="E6" s="70" t="n">
        <v>-0.734</v>
      </c>
      <c r="F6" s="70" t="n">
        <v>-0.004</v>
      </c>
      <c r="G6" s="70" t="n">
        <v>0.463</v>
      </c>
      <c r="H6" s="70" t="n">
        <v>1.0105</v>
      </c>
    </row>
    <row r="7" ht="16" customHeight="1">
      <c r="B7" s="59" t="inlineStr">
        <is>
          <t>$800,000 equity</t>
        </is>
      </c>
      <c r="C7" s="70" t="n">
        <v>-1</v>
      </c>
      <c r="D7" s="70" t="n">
        <v>-1</v>
      </c>
      <c r="E7" s="70" t="n">
        <v>-0.8005</v>
      </c>
      <c r="F7" s="70" t="n">
        <v>-0.253</v>
      </c>
      <c r="G7" s="70" t="n">
        <v>0.24725</v>
      </c>
      <c r="H7" s="70" t="n">
        <v>0.657875</v>
      </c>
    </row>
    <row r="8" ht="16" customHeight="1">
      <c r="B8" s="59" t="inlineStr">
        <is>
          <t>$1,040,000 equity</t>
        </is>
      </c>
      <c r="C8" s="70" t="n">
        <v>-1</v>
      </c>
      <c r="D8" s="70" t="n">
        <v>-1</v>
      </c>
      <c r="E8" s="70" t="n">
        <v>-0.8465384615384616</v>
      </c>
      <c r="F8" s="70" t="n">
        <v>-0.4253846153846154</v>
      </c>
      <c r="G8" s="70" t="n">
        <v>-0.004230769230769231</v>
      </c>
      <c r="H8" s="70" t="n">
        <v>0.41375</v>
      </c>
    </row>
    <row r="9" ht="16" customHeight="1">
      <c r="B9" s="59" t="inlineStr">
        <is>
          <t>$1,200,000 equity</t>
        </is>
      </c>
      <c r="C9" s="70" t="n">
        <v>-1</v>
      </c>
      <c r="D9" s="70" t="n">
        <v>-1</v>
      </c>
      <c r="E9" s="70" t="n">
        <v>-0.867</v>
      </c>
      <c r="F9" s="70" t="n">
        <v>-0.502</v>
      </c>
      <c r="G9" s="70" t="n">
        <v>-0.137</v>
      </c>
      <c r="H9" s="70" t="n">
        <v>0.30525</v>
      </c>
    </row>
    <row r="10" ht="16" customHeight="1">
      <c r="B10" s="59" t="inlineStr">
        <is>
          <t>$1,500,000 equity</t>
        </is>
      </c>
      <c r="C10" s="70" t="n">
        <v>-1</v>
      </c>
      <c r="D10" s="70" t="n">
        <v>-1</v>
      </c>
      <c r="E10" s="70" t="n">
        <v>-0.8935999999999999</v>
      </c>
      <c r="F10" s="70" t="n">
        <v>-0.6016</v>
      </c>
      <c r="G10" s="70" t="n">
        <v>-0.3096</v>
      </c>
      <c r="H10" s="70" t="n">
        <v>0.1284</v>
      </c>
    </row>
    <row r="13" ht="16" customHeight="1">
      <c r="B13" s="17" t="inlineStr">
        <is>
          <t xml:space="preserve">  TABLE 2 — Investor MOIC by Gross Revenue &amp; Recoupment Premium  ($1.04M equity base)</t>
        </is>
      </c>
    </row>
    <row r="14" ht="16" customHeight="1">
      <c r="B14" s="3" t="inlineStr">
        <is>
          <t>Recoup Premium ↓ / Revenue →</t>
        </is>
      </c>
      <c r="C14" s="28" t="inlineStr">
        <is>
          <t>$500K</t>
        </is>
      </c>
      <c r="D14" s="28" t="inlineStr">
        <is>
          <t>$1M</t>
        </is>
      </c>
      <c r="E14" s="28" t="inlineStr">
        <is>
          <t>$1.5M</t>
        </is>
      </c>
      <c r="F14" s="28" t="inlineStr">
        <is>
          <t>$2.5M</t>
        </is>
      </c>
      <c r="G14" s="28" t="inlineStr">
        <is>
          <t>$3.5M</t>
        </is>
      </c>
      <c r="H14" s="28" t="inlineStr">
        <is>
          <t>$5M</t>
        </is>
      </c>
    </row>
    <row r="15" ht="16" customHeight="1">
      <c r="B15" s="59" t="inlineStr">
        <is>
          <t>10% premium</t>
        </is>
      </c>
      <c r="C15" s="71" t="n">
        <v>0</v>
      </c>
      <c r="D15" s="71" t="n">
        <v>0</v>
      </c>
      <c r="E15" s="71" t="n">
        <v>0.1534615384615385</v>
      </c>
      <c r="F15" s="71" t="n">
        <v>0.5746153846153846</v>
      </c>
      <c r="G15" s="71" t="n">
        <v>0.9957692307692307</v>
      </c>
      <c r="H15" s="71" t="n">
        <v>1.36375</v>
      </c>
    </row>
    <row r="16" ht="16" customHeight="1">
      <c r="B16" s="59" t="inlineStr">
        <is>
          <t>15% premium</t>
        </is>
      </c>
      <c r="C16" s="71" t="n">
        <v>0</v>
      </c>
      <c r="D16" s="71" t="n">
        <v>0</v>
      </c>
      <c r="E16" s="71" t="n">
        <v>0.1534615384615385</v>
      </c>
      <c r="F16" s="71" t="n">
        <v>0.5746153846153846</v>
      </c>
      <c r="G16" s="71" t="n">
        <v>0.9957692307692307</v>
      </c>
      <c r="H16" s="71" t="n">
        <v>1.38875</v>
      </c>
    </row>
    <row r="17" ht="16" customHeight="1">
      <c r="B17" s="59" t="inlineStr">
        <is>
          <t>20% premium</t>
        </is>
      </c>
      <c r="C17" s="71" t="n">
        <v>0</v>
      </c>
      <c r="D17" s="71" t="n">
        <v>0</v>
      </c>
      <c r="E17" s="71" t="n">
        <v>0.1534615384615385</v>
      </c>
      <c r="F17" s="71" t="n">
        <v>0.5746153846153846</v>
      </c>
      <c r="G17" s="71" t="n">
        <v>0.9957692307692307</v>
      </c>
      <c r="H17" s="71" t="n">
        <v>1.41375</v>
      </c>
    </row>
    <row r="18" ht="16" customHeight="1">
      <c r="B18" s="59" t="inlineStr">
        <is>
          <t>25% premium</t>
        </is>
      </c>
      <c r="C18" s="71" t="n">
        <v>0</v>
      </c>
      <c r="D18" s="71" t="n">
        <v>0</v>
      </c>
      <c r="E18" s="71" t="n">
        <v>0.1534615384615385</v>
      </c>
      <c r="F18" s="71" t="n">
        <v>0.5746153846153846</v>
      </c>
      <c r="G18" s="71" t="n">
        <v>0.9957692307692307</v>
      </c>
      <c r="H18" s="71" t="n">
        <v>1.43875</v>
      </c>
    </row>
    <row r="19" ht="16" customHeight="1">
      <c r="B19" s="59" t="inlineStr">
        <is>
          <t>30% premium</t>
        </is>
      </c>
      <c r="C19" s="71" t="n">
        <v>0</v>
      </c>
      <c r="D19" s="71" t="n">
        <v>0</v>
      </c>
      <c r="E19" s="71" t="n">
        <v>0.1534615384615385</v>
      </c>
      <c r="F19" s="71" t="n">
        <v>0.5746153846153846</v>
      </c>
      <c r="G19" s="71" t="n">
        <v>0.9957692307692307</v>
      </c>
      <c r="H19" s="71" t="n">
        <v>1.46375</v>
      </c>
    </row>
    <row r="22" ht="16" customHeight="1">
      <c r="B22" s="17" t="inlineStr">
        <is>
          <t xml:space="preserve">  TABLE 3 — Estimated Breakeven Gross Revenue Required by Distribution Strategy</t>
        </is>
      </c>
    </row>
    <row r="23" ht="16" customHeight="1">
      <c r="B23" s="3" t="inlineStr">
        <is>
          <t>Distribution Strategy</t>
        </is>
      </c>
      <c r="C23" s="28" t="inlineStr">
        <is>
          <t>Exhibitor %</t>
        </is>
      </c>
      <c r="D23" s="28" t="inlineStr">
        <is>
          <t>Distrib. Fee</t>
        </is>
      </c>
      <c r="E23" s="28" t="inlineStr">
        <is>
          <t>P&amp;A ($)</t>
        </is>
      </c>
      <c r="F23" s="28" t="inlineStr">
        <is>
          <t>SA Comm.</t>
        </is>
      </c>
      <c r="G23" s="28" t="inlineStr">
        <is>
          <t>Equity</t>
        </is>
      </c>
      <c r="H23" s="28" t="inlineStr">
        <is>
          <t>Breakeven Gross</t>
        </is>
      </c>
    </row>
    <row r="24" ht="16" customHeight="1">
      <c r="B24" s="21" t="inlineStr">
        <is>
          <t>SVOD-First (No Theatrical)</t>
        </is>
      </c>
      <c r="C24" s="72" t="n">
        <v>0</v>
      </c>
      <c r="D24" s="72" t="n">
        <v>0.25</v>
      </c>
      <c r="E24" s="73" t="n">
        <v>0</v>
      </c>
      <c r="F24" s="72" t="n">
        <v>0.1</v>
      </c>
      <c r="G24" s="73" t="n">
        <v>1040000</v>
      </c>
      <c r="H24" s="45" t="n">
        <v>2524000</v>
      </c>
    </row>
    <row r="25" ht="16" customHeight="1">
      <c r="B25" s="21" t="inlineStr">
        <is>
          <t>Limited Theatrical + SVOD</t>
        </is>
      </c>
      <c r="C25" s="72" t="n">
        <v>0.5</v>
      </c>
      <c r="D25" s="72" t="n">
        <v>0.3</v>
      </c>
      <c r="E25" s="73" t="n">
        <v>150000</v>
      </c>
      <c r="F25" s="72" t="n">
        <v>0.12</v>
      </c>
      <c r="G25" s="73" t="n">
        <v>1040000</v>
      </c>
      <c r="H25" s="45" t="n">
        <v>7784000</v>
      </c>
    </row>
    <row r="26" ht="16" customHeight="1">
      <c r="B26" s="21" t="inlineStr">
        <is>
          <t>Full Theatrical Wide Release</t>
        </is>
      </c>
      <c r="C26" s="72" t="n">
        <v>0.52</v>
      </c>
      <c r="D26" s="72" t="n">
        <v>0.35</v>
      </c>
      <c r="E26" s="73" t="n">
        <v>1000000</v>
      </c>
      <c r="F26" s="72" t="n">
        <v>0.12</v>
      </c>
      <c r="G26" s="73" t="n">
        <v>1040000</v>
      </c>
      <c r="H26" s="45" t="n">
        <v>13752000</v>
      </c>
    </row>
    <row r="27" ht="16" customHeight="1">
      <c r="B27" s="21" t="inlineStr">
        <is>
          <t>International Pre-Sales Only</t>
        </is>
      </c>
      <c r="C27" s="72" t="n">
        <v>0</v>
      </c>
      <c r="D27" s="72" t="n">
        <v>0.2</v>
      </c>
      <c r="E27" s="73" t="n">
        <v>50000</v>
      </c>
      <c r="F27" s="72" t="n">
        <v>0.12</v>
      </c>
      <c r="G27" s="73" t="n">
        <v>1040000</v>
      </c>
      <c r="H27" s="45" t="n">
        <v>2486000</v>
      </c>
    </row>
    <row r="28" ht="16" customHeight="1">
      <c r="B28" s="21" t="inlineStr">
        <is>
          <t>Hybrid (Self-Distributed)</t>
        </is>
      </c>
      <c r="C28" s="72" t="n">
        <v>0.1</v>
      </c>
      <c r="D28" s="72" t="n">
        <v>0.15</v>
      </c>
      <c r="E28" s="73" t="n">
        <v>75000</v>
      </c>
      <c r="F28" s="72" t="n">
        <v>0.05</v>
      </c>
      <c r="G28" s="73" t="n">
        <v>1040000</v>
      </c>
      <c r="H28" s="45" t="n">
        <v>2399000</v>
      </c>
    </row>
    <row r="30" ht="28" customHeight="1">
      <c r="B30" s="27" t="inlineStr">
        <is>
          <t>Note: ROI, MOIC, and breakeven figures are illustrative calculations using simplified assumptions. Actual returns depend on negotiated deal terms, collection account mechanics, hold period, and distribution performance.</t>
        </is>
      </c>
    </row>
  </sheetData>
  <mergeCells count="5">
    <mergeCell ref="B22:H22"/>
    <mergeCell ref="B13:H13"/>
    <mergeCell ref="B4:H4"/>
    <mergeCell ref="B30:H30"/>
    <mergeCell ref="B2:H2"/>
  </mergeCells>
  <conditionalFormatting sqref="C6:H10">
    <cfRule type="colorScale" priority="1">
      <colorScale>
        <cfvo type="num" val="-1"/>
        <cfvo type="num" val="0"/>
        <cfvo type="num" val="1.5"/>
        <color rgb="00F8696B"/>
        <color rgb="00FFEB84"/>
        <color rgb="0063BE7B"/>
      </colorScale>
    </cfRule>
  </conditionalFormatting>
  <conditionalFormatting sqref="C15:H19">
    <cfRule type="colorScale" priority="2">
      <colorScale>
        <cfvo type="num" val="0"/>
        <cfvo type="num" val="1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  <col width="36" customWidth="1" min="7" max="7"/>
    <col width="36" customWidth="1" min="8" max="8"/>
  </cols>
  <sheetData>
    <row r="2" ht="20" customHeight="1">
      <c r="B2" s="3" t="inlineStr">
        <is>
          <t xml:space="preserve">  RISK REGISTER  —  Investor-Facing Risk Factors &amp; Mitigation Strategies</t>
        </is>
      </c>
    </row>
    <row r="3" ht="18" customHeight="1">
      <c r="B3" s="3" t="inlineStr">
        <is>
          <t>Risk Factor</t>
        </is>
      </c>
      <c r="C3" s="29" t="inlineStr">
        <is>
          <t>Category</t>
        </is>
      </c>
      <c r="D3" s="29" t="inlineStr">
        <is>
          <t>Probability</t>
        </is>
      </c>
      <c r="E3" s="29" t="inlineStr">
        <is>
          <t>Impact (1-5)</t>
        </is>
      </c>
      <c r="F3" s="29" t="inlineStr">
        <is>
          <t>Risk Score</t>
        </is>
      </c>
      <c r="G3" s="29" t="inlineStr">
        <is>
          <t>Mitigation</t>
        </is>
      </c>
      <c r="H3" s="29" t="inlineStr">
        <is>
          <t>Residual Risk / Status</t>
        </is>
      </c>
    </row>
    <row r="4" ht="16" customHeight="1">
      <c r="B4" s="74" t="inlineStr">
        <is>
          <t>Completion Risk — Production over budget or fails to complete</t>
        </is>
      </c>
      <c r="C4" s="75" t="inlineStr">
        <is>
          <t>Production</t>
        </is>
      </c>
      <c r="D4" s="76" t="inlineStr">
        <is>
          <t>25%</t>
        </is>
      </c>
      <c r="E4" s="76" t="n">
        <v>4</v>
      </c>
      <c r="F4" s="77" t="n">
        <v>1</v>
      </c>
      <c r="G4" s="78" t="inlineStr">
        <is>
          <t>Completion bond from recognized provider; 10% contingency in budget; experienced producer</t>
        </is>
      </c>
      <c r="H4" s="78" t="inlineStr">
        <is>
          <t>Reduced via bond; monitor weekly burn rate</t>
        </is>
      </c>
    </row>
    <row r="5" ht="16" customHeight="1">
      <c r="B5" s="79" t="inlineStr">
        <is>
          <t>No Distribution — Film not acquired or finds no distribution deal</t>
        </is>
      </c>
      <c r="C5" s="50" t="inlineStr">
        <is>
          <t>Commercial</t>
        </is>
      </c>
      <c r="D5" s="80" t="inlineStr">
        <is>
          <t>40%</t>
        </is>
      </c>
      <c r="E5" s="80" t="n">
        <v>5</v>
      </c>
      <c r="F5" s="81" t="n">
        <v>2</v>
      </c>
      <c r="G5" s="82" t="inlineStr">
        <is>
          <t>Attach sales agent pre-production; target A-list festivals; compare to comps with distribution</t>
        </is>
      </c>
      <c r="H5" s="82" t="inlineStr">
        <is>
          <t>Build SVOD-first strategy as fallback</t>
        </is>
      </c>
    </row>
    <row r="6" ht="16" customHeight="1">
      <c r="B6" s="74" t="inlineStr">
        <is>
          <t>Revenue Underperformance — Distribution proceeds insufficient to recoup</t>
        </is>
      </c>
      <c r="C6" s="75" t="inlineStr">
        <is>
          <t>Financial</t>
        </is>
      </c>
      <c r="D6" s="76" t="inlineStr">
        <is>
          <t>45%</t>
        </is>
      </c>
      <c r="E6" s="76" t="n">
        <v>5</v>
      </c>
      <c r="F6" s="81" t="n">
        <v>2.2</v>
      </c>
      <c r="G6" s="78" t="inlineStr">
        <is>
          <t>Conservative waterfall projections; recoupment priority before any backend; diversified revenue windows</t>
        </is>
      </c>
      <c r="H6" s="78" t="inlineStr">
        <is>
          <t>Investors receive pro-rata of available; full loss possible</t>
        </is>
      </c>
    </row>
    <row r="7" ht="16" customHeight="1">
      <c r="B7" s="79" t="inlineStr">
        <is>
          <t>SVOD Market Contraction — Platform licensing fees decline further</t>
        </is>
      </c>
      <c r="C7" s="50" t="inlineStr">
        <is>
          <t>Market</t>
        </is>
      </c>
      <c r="D7" s="80" t="inlineStr">
        <is>
          <t>35%</t>
        </is>
      </c>
      <c r="E7" s="80" t="n">
        <v>4</v>
      </c>
      <c r="F7" s="77" t="n">
        <v>1.4</v>
      </c>
      <c r="G7" s="82" t="inlineStr">
        <is>
          <t>Develop multi-window strategy; do not rely solely on one platform; build TVOD + AVOD as base</t>
        </is>
      </c>
      <c r="H7" s="82" t="inlineStr">
        <is>
          <t>Multiple fallback windows modeled</t>
        </is>
      </c>
    </row>
    <row r="8" ht="16" customHeight="1">
      <c r="B8" s="74" t="inlineStr">
        <is>
          <t>Key Person Risk — Director, star, or producer leaves project</t>
        </is>
      </c>
      <c r="C8" s="75" t="inlineStr">
        <is>
          <t>Production</t>
        </is>
      </c>
      <c r="D8" s="76" t="inlineStr">
        <is>
          <t>15%</t>
        </is>
      </c>
      <c r="E8" s="76" t="n">
        <v>5</v>
      </c>
      <c r="F8" s="83" t="n">
        <v>0.8</v>
      </c>
      <c r="G8" s="78" t="inlineStr">
        <is>
          <t>Cast and key person insurance; attached talent clauses in agreements; backup casting plan</t>
        </is>
      </c>
      <c r="H8" s="78" t="inlineStr">
        <is>
          <t>Completion bond may cover; disruption risk remains</t>
        </is>
      </c>
    </row>
    <row r="9" ht="16" customHeight="1">
      <c r="B9" s="79" t="inlineStr">
        <is>
          <t>Tax Credit Risk — Rebate denied, delayed, or reduced</t>
        </is>
      </c>
      <c r="C9" s="50" t="inlineStr">
        <is>
          <t>Financial</t>
        </is>
      </c>
      <c r="D9" s="80" t="inlineStr">
        <is>
          <t>20%</t>
        </is>
      </c>
      <c r="E9" s="80" t="n">
        <v>4</v>
      </c>
      <c r="F9" s="83" t="n">
        <v>0.8</v>
      </c>
      <c r="G9" s="82" t="inlineStr">
        <is>
          <t>Work with qualified production tax attorney; obtain pre-approval letter if available; conservative credit estimate</t>
        </is>
      </c>
      <c r="H9" s="82" t="inlineStr">
        <is>
          <t>Do not deploy until credit is confirmed</t>
        </is>
      </c>
    </row>
    <row r="10" ht="16" customHeight="1">
      <c r="B10" s="74" t="inlineStr">
        <is>
          <t>Legal / Chain of Title Issues</t>
        </is>
      </c>
      <c r="C10" s="75" t="inlineStr">
        <is>
          <t>Legal</t>
        </is>
      </c>
      <c r="D10" s="76" t="inlineStr">
        <is>
          <t>10%</t>
        </is>
      </c>
      <c r="E10" s="76" t="n">
        <v>5</v>
      </c>
      <c r="F10" s="83" t="n">
        <v>0.5</v>
      </c>
      <c r="G10" s="78" t="inlineStr">
        <is>
          <t>Full chain of title clearance before close; E&amp;O insurance; copyright registration; music clearance</t>
        </is>
      </c>
      <c r="H10" s="78" t="inlineStr">
        <is>
          <t>E&amp;O policy transfers risk at delivery</t>
        </is>
      </c>
    </row>
    <row r="11" ht="16" customHeight="1">
      <c r="B11" s="79" t="inlineStr">
        <is>
          <t>Interest Rate / Bridge Loan Risk — Costs exceed projection</t>
        </is>
      </c>
      <c r="C11" s="50" t="inlineStr">
        <is>
          <t>Financial</t>
        </is>
      </c>
      <c r="D11" s="80" t="inlineStr">
        <is>
          <t>15%</t>
        </is>
      </c>
      <c r="E11" s="80" t="n">
        <v>3</v>
      </c>
      <c r="F11" s="83" t="n">
        <v>0.4</v>
      </c>
      <c r="G11" s="82" t="inlineStr">
        <is>
          <t>Fixed-rate bridge agreement where possible; model sensitivity on Sensitivity sheet</t>
        </is>
      </c>
      <c r="H11" s="82" t="inlineStr">
        <is>
          <t>Modeled at 9% senior; 16% gap</t>
        </is>
      </c>
    </row>
    <row r="12" ht="16" customHeight="1">
      <c r="B12" s="74" t="inlineStr">
        <is>
          <t>Investor Relations Risk — Investor default or early withdrawal</t>
        </is>
      </c>
      <c r="C12" s="75" t="inlineStr">
        <is>
          <t>Operational</t>
        </is>
      </c>
      <c r="D12" s="76" t="inlineStr">
        <is>
          <t>10%</t>
        </is>
      </c>
      <c r="E12" s="76" t="n">
        <v>4</v>
      </c>
      <c r="F12" s="83" t="n">
        <v>0.4</v>
      </c>
      <c r="G12" s="78" t="inlineStr">
        <is>
          <t>Binding subscription agreements with LLC; PPM disclaims redemption rights; clear closing conditions</t>
        </is>
      </c>
      <c r="H12" s="78" t="inlineStr">
        <is>
          <t>No investor withdrawal after subscription signed</t>
        </is>
      </c>
    </row>
    <row r="13" ht="16" customHeight="1">
      <c r="B13" s="79" t="inlineStr">
        <is>
          <t>Festival Rejection — Film fails to secure marquee premiere</t>
        </is>
      </c>
      <c r="C13" s="50" t="inlineStr">
        <is>
          <t>Commercial</t>
        </is>
      </c>
      <c r="D13" s="80" t="inlineStr">
        <is>
          <t>40%</t>
        </is>
      </c>
      <c r="E13" s="80" t="n">
        <v>3</v>
      </c>
      <c r="F13" s="77" t="n">
        <v>1.2</v>
      </c>
      <c r="G13" s="82" t="inlineStr">
        <is>
          <t>Direct distribution plan (SVOD-first) as backup; trailer-driven digital release strategy</t>
        </is>
      </c>
      <c r="H13" s="82" t="inlineStr">
        <is>
          <t>Box office/SVOD unaffected by festival absent buzz boost</t>
        </is>
      </c>
    </row>
    <row r="14" ht="16" customHeight="1">
      <c r="B14" s="74" t="inlineStr">
        <is>
          <t>Copyright / Music Clearance Risk</t>
        </is>
      </c>
      <c r="C14" s="75" t="inlineStr">
        <is>
          <t>Legal</t>
        </is>
      </c>
      <c r="D14" s="76" t="inlineStr">
        <is>
          <t>20%</t>
        </is>
      </c>
      <c r="E14" s="76" t="n">
        <v>3</v>
      </c>
      <c r="F14" s="83" t="n">
        <v>0.6</v>
      </c>
      <c r="G14" s="78" t="inlineStr">
        <is>
          <t>Pre-clear all music before post; use original score; budget for festival print clearances</t>
        </is>
      </c>
      <c r="H14" s="78" t="inlineStr">
        <is>
          <t>E&amp;O insurance and music supervisor on board</t>
        </is>
      </c>
    </row>
    <row r="15" ht="16" customHeight="1">
      <c r="B15" s="79" t="inlineStr">
        <is>
          <t>Currency / Foreign Exchange Risk</t>
        </is>
      </c>
      <c r="C15" s="50" t="inlineStr">
        <is>
          <t>Financial</t>
        </is>
      </c>
      <c r="D15" s="80" t="inlineStr">
        <is>
          <t>25%</t>
        </is>
      </c>
      <c r="E15" s="80" t="n">
        <v>3</v>
      </c>
      <c r="F15" s="83" t="n">
        <v>0.8</v>
      </c>
      <c r="G15" s="82" t="inlineStr">
        <is>
          <t>Invoice intl pre-sales in USD; use collection account in USD; minimize EUR/GBP exposure</t>
        </is>
      </c>
      <c r="H15" s="82" t="inlineStr">
        <is>
          <t>Currency hedging costly at indie budget; accept residual risk</t>
        </is>
      </c>
    </row>
    <row r="16" ht="16" customHeight="1">
      <c r="B16" s="74" t="inlineStr">
        <is>
          <t>Reputational / Talent Controversy</t>
        </is>
      </c>
      <c r="C16" s="75" t="inlineStr">
        <is>
          <t>Reputational</t>
        </is>
      </c>
      <c r="D16" s="76" t="inlineStr">
        <is>
          <t>10%</t>
        </is>
      </c>
      <c r="E16" s="76" t="n">
        <v>4</v>
      </c>
      <c r="F16" s="83" t="n">
        <v>0.4</v>
      </c>
      <c r="G16" s="78" t="inlineStr">
        <is>
          <t>Morality clauses in all talent agreements; crisis PR plan; insurance</t>
        </is>
      </c>
      <c r="H16" s="78" t="inlineStr">
        <is>
          <t>Insurance may cover; distribution impact unpredictable</t>
        </is>
      </c>
    </row>
    <row r="17" ht="16" customHeight="1">
      <c r="B17" s="79" t="inlineStr">
        <is>
          <t>Technology / Data Loss Risk</t>
        </is>
      </c>
      <c r="C17" s="50" t="inlineStr">
        <is>
          <t>Operational</t>
        </is>
      </c>
      <c r="D17" s="80" t="inlineStr">
        <is>
          <t>10%</t>
        </is>
      </c>
      <c r="E17" s="80" t="n">
        <v>3</v>
      </c>
      <c r="F17" s="83" t="n">
        <v>0.3</v>
      </c>
      <c r="G17" s="82" t="inlineStr">
        <is>
          <t>Daily cloud backup of all media and data (RAID + offsite); data security protocols during production</t>
        </is>
      </c>
      <c r="H17" s="82" t="inlineStr">
        <is>
          <t>Low residual with backup discipline</t>
        </is>
      </c>
    </row>
    <row r="19" ht="28" customHeight="1">
      <c r="B19" s="27" t="inlineStr">
        <is>
          <t>Risk Score = Probability × Impact (1-5). Red ≥ 2.0, Yellow 1.0-1.9, Green &lt; 1.0. Provide this register in full investor due diligence package (not in first pitch). Revisit quarterly.</t>
        </is>
      </c>
    </row>
  </sheetData>
  <mergeCells count="2">
    <mergeCell ref="B19:H19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2026-03-31T02:19:58Z</dcterms:created>
  <dcterms:modified xmlns:dcterms="http://purl.org/dc/terms/" xmlns:xsi="http://www.w3.org/2001/XMLSchema-instance" xsi:type="dcterms:W3CDTF">2026-03-31T02:26:19Z</dcterms:modified>
</cp:coreProperties>
</file>